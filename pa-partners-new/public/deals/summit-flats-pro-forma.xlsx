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Assumptions" sheetId="2" r:id="rId5"/>
    <sheet state="visible" name="Capital Stack" sheetId="3" r:id="rId6"/>
    <sheet state="visible" name="Cash Flow" sheetId="4" r:id="rId7"/>
    <sheet state="visible" name="Refinance" sheetId="5" r:id="rId8"/>
    <sheet state="visible" name="Notes" sheetId="6" r:id="rId9"/>
    <sheet state="visible" name="Model Inputs" sheetId="7" r:id="rId10"/>
  </sheets>
  <definedNames/>
  <calcPr/>
</workbook>
</file>

<file path=xl/sharedStrings.xml><?xml version="1.0" encoding="utf-8"?>
<sst xmlns="http://schemas.openxmlformats.org/spreadsheetml/2006/main" count="153" uniqueCount="146">
  <si>
    <t>Multi-Family Investment Pro Forma</t>
  </si>
  <si>
    <t>Property Name:</t>
  </si>
  <si>
    <t>Weinland Park Summit Portfolio</t>
  </si>
  <si>
    <t>Date:</t>
  </si>
  <si>
    <t>10/20/2025</t>
  </si>
  <si>
    <t>PROPERTY OVERVIEW</t>
  </si>
  <si>
    <t>Total Units:</t>
  </si>
  <si>
    <t>Acquisition Price:</t>
  </si>
  <si>
    <t>Price per Unit:</t>
  </si>
  <si>
    <t>Total Project Cost:</t>
  </si>
  <si>
    <t>Equity Required:</t>
  </si>
  <si>
    <t>Debt Amount:</t>
  </si>
  <si>
    <t>LTC Ratio:</t>
  </si>
  <si>
    <t>KEY METRICS</t>
  </si>
  <si>
    <t>Cash-on-Cash Return:</t>
  </si>
  <si>
    <t>Levered IRR:</t>
  </si>
  <si>
    <t>Equity Multiple:</t>
  </si>
  <si>
    <t>DSCR (Year 1):</t>
  </si>
  <si>
    <t>Avg DSCR (Hold):</t>
  </si>
  <si>
    <t>LENDER UNDERWRITING</t>
  </si>
  <si>
    <t>DSCR Day-1 (Ramped):</t>
  </si>
  <si>
    <t>DSCR Stabilized:</t>
  </si>
  <si>
    <t>Debt Yield Day-1:</t>
  </si>
  <si>
    <t>Debt Yield Stabilized:</t>
  </si>
  <si>
    <t>Suggested IO Months:</t>
  </si>
  <si>
    <t>Interest Reserve (est.):</t>
  </si>
  <si>
    <t>KEY ASSUMPTIONS &amp; CALCULATIONS</t>
  </si>
  <si>
    <t>REVENUE ASSUMPTIONS</t>
  </si>
  <si>
    <t>Average Monthly Rent (Per Unit):</t>
  </si>
  <si>
    <t>Occupancy Rate:</t>
  </si>
  <si>
    <t>Units:</t>
  </si>
  <si>
    <t>Annual Rent Growth:</t>
  </si>
  <si>
    <t>Other Income (Monthly):</t>
  </si>
  <si>
    <t>Delinquency Y1:</t>
  </si>
  <si>
    <t>Delinquency Y2+ (Stabilized):</t>
  </si>
  <si>
    <t>Delinquency Ramp Years:</t>
  </si>
  <si>
    <t>OPERATING EXPENSES</t>
  </si>
  <si>
    <t>Property Taxes:</t>
  </si>
  <si>
    <t>Insurance:</t>
  </si>
  <si>
    <t>Utilities:</t>
  </si>
  <si>
    <t>Repairs &amp; Maintenance:</t>
  </si>
  <si>
    <t>Management Fee:</t>
  </si>
  <si>
    <t>Other Expenses:</t>
  </si>
  <si>
    <t>RESERVES (Per Unit)</t>
  </si>
  <si>
    <t>Annual CapEx ($/Unit):</t>
  </si>
  <si>
    <t>Leasing Costs ($/Unit):</t>
  </si>
  <si>
    <t>TI Allowance ($/Unit):</t>
  </si>
  <si>
    <t>CALCULATED RESULTS</t>
  </si>
  <si>
    <t>Gross Rental Income:</t>
  </si>
  <si>
    <t>Effective Gross Income:</t>
  </si>
  <si>
    <t>Total Operating Expenses:</t>
  </si>
  <si>
    <t>Net Operating Income:</t>
  </si>
  <si>
    <t>Expense Ratio:</t>
  </si>
  <si>
    <t>CAPITAL STACK</t>
  </si>
  <si>
    <t>Source</t>
  </si>
  <si>
    <t>Amount</t>
  </si>
  <si>
    <t>% of Total</t>
  </si>
  <si>
    <t>Cost/Return</t>
  </si>
  <si>
    <t>Senior Debt</t>
  </si>
  <si>
    <t>Seller Note</t>
  </si>
  <si>
    <t>LP Equity</t>
  </si>
  <si>
    <t>GP Equity</t>
  </si>
  <si>
    <t>Residual</t>
  </si>
  <si>
    <t>Total</t>
  </si>
  <si>
    <t>5-YEAR CASH FLOW PROJECTION</t>
  </si>
  <si>
    <t>CF</t>
  </si>
  <si>
    <t>Year</t>
  </si>
  <si>
    <t>NOI</t>
  </si>
  <si>
    <t>Debt Service</t>
  </si>
  <si>
    <t>Reserves</t>
  </si>
  <si>
    <t>Before-Tax CF</t>
  </si>
  <si>
    <t>Cash-on-Cash</t>
  </si>
  <si>
    <t>Year 1</t>
  </si>
  <si>
    <t>Year 2</t>
  </si>
  <si>
    <t>Year 3</t>
  </si>
  <si>
    <t>Year 4</t>
  </si>
  <si>
    <t>Year 5</t>
  </si>
  <si>
    <t>REFINANCE SUMMARY</t>
  </si>
  <si>
    <t>Sizing Method</t>
  </si>
  <si>
    <t>ltv</t>
  </si>
  <si>
    <t>Refi Year</t>
  </si>
  <si>
    <t>Perm Loan Amount</t>
  </si>
  <si>
    <t>Net Refi Proceeds</t>
  </si>
  <si>
    <t>Value at Refi</t>
  </si>
  <si>
    <t>Bridge Payoff</t>
  </si>
  <si>
    <t>Seller Note Payoff</t>
  </si>
  <si>
    <t>Perm Points/Fees</t>
  </si>
  <si>
    <t>NOTES</t>
  </si>
  <si>
    <t>Bridge LTV</t>
  </si>
  <si>
    <t>Bridge LTC</t>
  </si>
  <si>
    <t>Bridge IO Months</t>
  </si>
  <si>
    <t>ALL MODEL INPUTS FOR PRO FORMA</t>
  </si>
  <si>
    <t>Input Field</t>
  </si>
  <si>
    <t>Value</t>
  </si>
  <si>
    <t>Purchase Price</t>
  </si>
  <si>
    <t>Units</t>
  </si>
  <si>
    <t>Total Project Cost</t>
  </si>
  <si>
    <t>Loan Amount</t>
  </si>
  <si>
    <t>Interest Rate</t>
  </si>
  <si>
    <t>Loan Term</t>
  </si>
  <si>
    <t>Amortization</t>
  </si>
  <si>
    <t>LTV</t>
  </si>
  <si>
    <t>GP Investment %</t>
  </si>
  <si>
    <t>LP Investment %</t>
  </si>
  <si>
    <t>Preferred Return</t>
  </si>
  <si>
    <t>GP Promote</t>
  </si>
  <si>
    <t>Year 1 NOI</t>
  </si>
  <si>
    <t>NOI Growth Rate</t>
  </si>
  <si>
    <t>Hold Period</t>
  </si>
  <si>
    <t>Exit Cap Rate</t>
  </si>
  <si>
    <t>Selling Costs</t>
  </si>
  <si>
    <t>Delinquency Y1</t>
  </si>
  <si>
    <t>Delinquency Y2+ (Stabilized)</t>
  </si>
  <si>
    <t>Delinquency Ramp Years</t>
  </si>
  <si>
    <t>Management Fee % of EGI</t>
  </si>
  <si>
    <t>Bridge Points</t>
  </si>
  <si>
    <t>Auto-size to LTC</t>
  </si>
  <si>
    <t>Perm Rate</t>
  </si>
  <si>
    <t>Perm Amort (yrs)</t>
  </si>
  <si>
    <t>Perm Term (yrs)</t>
  </si>
  <si>
    <t>Perm LTV</t>
  </si>
  <si>
    <t>Perm DSCR</t>
  </si>
  <si>
    <t>Refi Cap Rate</t>
  </si>
  <si>
    <t>Perm Points</t>
  </si>
  <si>
    <t>Perm Loan Sized (PV)</t>
  </si>
  <si>
    <t>Perm Loan LTV</t>
  </si>
  <si>
    <t>Perm Loan DSCR</t>
  </si>
  <si>
    <t>Debt Service Year 1</t>
  </si>
  <si>
    <t>Debt Service Year 2</t>
  </si>
  <si>
    <t>Debt Service Year 3</t>
  </si>
  <si>
    <t>Debt Service Year 4</t>
  </si>
  <si>
    <t>Debt Service Year 5</t>
  </si>
  <si>
    <t>Y1 Ramp Months</t>
  </si>
  <si>
    <t>Y1 Ramp Discount</t>
  </si>
  <si>
    <t>Year 2 NOI (Stabilized)</t>
  </si>
  <si>
    <t>Seller Note Enabled</t>
  </si>
  <si>
    <t>Seller Note % of Purchase</t>
  </si>
  <si>
    <t>Seller Note Fixed Amount</t>
  </si>
  <si>
    <t>Seller Interest Rate</t>
  </si>
  <si>
    <t>Seller Accrual Months</t>
  </si>
  <si>
    <t>Seller Payment Months</t>
  </si>
  <si>
    <t>Seller Compounding (1=yes)</t>
  </si>
  <si>
    <t>Seller Principal</t>
  </si>
  <si>
    <t>Seller Balance After Accrual</t>
  </si>
  <si>
    <t>Seller Monthly IO</t>
  </si>
  <si>
    <t>Seller Payoff at Refi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</si>
</sst>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0.00x"/>
  </numFmts>
  <fonts count="4">
    <font>
      <sz val="12.0"/>
      <color theme="1"/>
      <name val="Calibri"/>
      <scheme val="minor"/>
    </font>
    <font>
      <color theme="1"/>
      <name val="Calibri"/>
    </font>
    <font/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164" xfId="0" applyFont="1" applyNumberFormat="1"/>
    <xf borderId="0" fillId="0" fontId="3" numFmtId="10" xfId="0" applyFont="1" applyNumberFormat="1"/>
    <xf borderId="0" fillId="0" fontId="3" numFmtId="165" xfId="0" applyFont="1" applyNumberFormat="1"/>
    <xf borderId="0" fillId="0" fontId="1" numFmtId="0" xfId="0" applyAlignment="1" applyFont="1">
      <alignment horizontal="right"/>
    </xf>
    <xf borderId="4" fillId="2" fontId="1" numFmtId="0" xfId="0" applyBorder="1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5.78"/>
    <col customWidth="1" min="2" max="6" width="11.22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</row>
    <row r="3">
      <c r="A3" s="4" t="s">
        <v>3</v>
      </c>
      <c r="B3" s="4" t="s">
        <v>4</v>
      </c>
    </row>
    <row r="5">
      <c r="A5" s="1" t="s">
        <v>5</v>
      </c>
      <c r="B5" s="3"/>
    </row>
    <row r="6">
      <c r="A6" s="4" t="s">
        <v>6</v>
      </c>
      <c r="B6" s="4">
        <f>'Model Inputs'!B5</f>
        <v>32</v>
      </c>
    </row>
    <row r="7">
      <c r="A7" s="4" t="s">
        <v>7</v>
      </c>
      <c r="B7" s="5">
        <f>'Model Inputs'!B4</f>
        <v>3200000</v>
      </c>
    </row>
    <row r="8">
      <c r="A8" s="4" t="s">
        <v>8</v>
      </c>
      <c r="B8" s="5">
        <f>B7/B6</f>
        <v>100000</v>
      </c>
    </row>
    <row r="9">
      <c r="A9" s="4" t="s">
        <v>9</v>
      </c>
      <c r="B9" s="5">
        <f>'Model Inputs'!B6</f>
        <v>3768000</v>
      </c>
    </row>
    <row r="10">
      <c r="A10" s="4" t="s">
        <v>10</v>
      </c>
      <c r="B10" s="5">
        <f>'Capital Stack'!B6+'Capital Stack'!B7</f>
        <v>810400</v>
      </c>
    </row>
    <row r="11">
      <c r="A11" s="4" t="s">
        <v>11</v>
      </c>
      <c r="B11" s="5">
        <f>'Model Inputs'!B7</f>
        <v>2637600</v>
      </c>
    </row>
    <row r="12">
      <c r="A12" s="4" t="s">
        <v>12</v>
      </c>
      <c r="B12" s="6">
        <f>IF(B9&gt;0,B11/B9,0)</f>
        <v>0.7</v>
      </c>
    </row>
    <row r="14">
      <c r="A14" s="1" t="s">
        <v>13</v>
      </c>
      <c r="B14" s="3"/>
    </row>
    <row r="15">
      <c r="A15" s="4" t="s">
        <v>14</v>
      </c>
      <c r="B15" s="6">
        <f t="array" ref="B15">AVERAGE('Cash Flow'!F4:INDEX('Cash Flow'!F:F,3+'Model Inputs'!B18))</f>
        <v>0.05210806571</v>
      </c>
    </row>
    <row r="16">
      <c r="A16" s="4" t="s">
        <v>15</v>
      </c>
      <c r="B16" s="6">
        <f t="array" ref="B16">IRR('Cash Flow'!H3:INDEX('Cash Flow'!H:H,3+'Model Inputs'!B18))</f>
        <v>0.2262649851</v>
      </c>
    </row>
    <row r="17">
      <c r="A17" s="4" t="s">
        <v>16</v>
      </c>
      <c r="B17" s="7">
        <f t="array" ref="B17">IF(ABS('Cash Flow'!H3)&gt;0, SUM('Cash Flow'!H4:INDEX('Cash Flow'!H:H,3+'Model Inputs'!B18))/ABS('Cash Flow'!H3), 0)</f>
        <v>2.176570261</v>
      </c>
    </row>
    <row r="18">
      <c r="A18" s="4" t="s">
        <v>17</v>
      </c>
      <c r="B18" s="7">
        <f>IF('Cash Flow'!C4&gt;0, 'Cash Flow'!B4/'Cash Flow'!C4, 0)</f>
        <v>1.265784987</v>
      </c>
    </row>
    <row r="19">
      <c r="A19" s="4" t="s">
        <v>18</v>
      </c>
      <c r="B19" s="8" t="str">
        <f t="array" ref="B19">ROUND(AVERAGE(IFERROR('Cash Flow'!B4:INDEX('Cash Flow'!B:B,3+'Model Inputs'!B18)/'Cash Flow'!C4:INDEX('Cash Flow'!C:C,3+'Model Inputs'!B18),0)), 2) &amp; "x"</f>
        <v>1.28x</v>
      </c>
    </row>
    <row r="20">
      <c r="A20" s="4"/>
    </row>
    <row r="21">
      <c r="A21" s="1" t="s">
        <v>19</v>
      </c>
      <c r="B21" s="3"/>
    </row>
    <row r="22" ht="15.75" customHeight="1">
      <c r="A22" s="4" t="s">
        <v>20</v>
      </c>
      <c r="B22" s="7">
        <f>IF('Cash Flow'!C4&gt;0, 'Cash Flow'!B4/'Cash Flow'!C4, 0)</f>
        <v>1.265784987</v>
      </c>
    </row>
    <row r="23" ht="15.75" customHeight="1">
      <c r="A23" s="4" t="s">
        <v>21</v>
      </c>
      <c r="B23" s="7">
        <f t="array" ref="B23">IF(INDEX('Model Inputs'!B41:B45,2)&gt;0, IF('Model Inputs'!B48&gt;0,'Model Inputs'!B48, 'Model Inputs'!B16*(1+'Model Inputs'!B17)*(1-('Model Inputs'!B21-('Model Inputs'!B21-'Model Inputs'!B22)*MIN(1,'Model Inputs'!B23)/MAX(1,'Model Inputs'!B23)))) / INDEX('Model Inputs'!B41:B45,2), 0)</f>
        <v>1.371215659</v>
      </c>
    </row>
    <row r="24" ht="15.75" customHeight="1">
      <c r="A24" s="4" t="s">
        <v>22</v>
      </c>
      <c r="B24" s="6">
        <f>IF('Model Inputs'!B7&gt;0, 'Cash Flow'!B4/'Model Inputs'!B7, 0)</f>
        <v>0.09176941159</v>
      </c>
    </row>
    <row r="25" ht="15.75" customHeight="1">
      <c r="A25" s="4" t="s">
        <v>23</v>
      </c>
      <c r="B25" s="6">
        <f>IF('Model Inputs'!B7&gt;0, IF('Model Inputs'!B48&gt;0,'Model Inputs'!B48, 'Model Inputs'!B16*(1+'Model Inputs'!B17)*(1-('Model Inputs'!B21-('Model Inputs'!B21-'Model Inputs'!B22)*MIN(1,'Model Inputs'!B23)/MAX(1,'Model Inputs'!B23)))) / 'Model Inputs'!B7, 0)</f>
        <v>0.1081566576</v>
      </c>
    </row>
    <row r="26" ht="15.75" customHeight="1">
      <c r="A26" s="4" t="s">
        <v>24</v>
      </c>
      <c r="B26" s="4">
        <f>IF('Model Inputs'!B7&gt;0, IF(('Cash Flow'!B4/12/1.2)&gt;=ABS(PMT('Model Inputs'!B8/12,'Model Inputs'!B10*12,'Model Inputs'!B7)), 0, MIN(24, ROUNDUP(12*(ABS(PMT('Model Inputs'!B8/12,'Model Inputs'!B10*12,'Model Inputs'!B7)) - ('Cash Flow'!B4/12/1.2)) / (ABS(PMT('Model Inputs'!B8/12,'Model Inputs'!B10*12,'Model Inputs'!B7)) - ('Model Inputs'!B7*'Model Inputs'!B8/12)), 0))), 0)</f>
        <v>7</v>
      </c>
    </row>
    <row r="27" ht="15.75" customHeight="1">
      <c r="A27" s="4" t="s">
        <v>25</v>
      </c>
      <c r="B27" s="5">
        <f>MAX(0, B26 * MAX(0, ('Model Inputs'!B7*'Model Inputs'!B8/12) - ('Cash Flow'!B4/12/1.2)))</f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D1"/>
    <mergeCell ref="A5:B5"/>
    <mergeCell ref="A14:B14"/>
    <mergeCell ref="A21:B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4.78"/>
    <col customWidth="1" min="2" max="6" width="11.22"/>
  </cols>
  <sheetData>
    <row r="1">
      <c r="A1" s="4" t="s">
        <v>26</v>
      </c>
    </row>
    <row r="3">
      <c r="A3" s="1" t="s">
        <v>27</v>
      </c>
      <c r="B3" s="3"/>
    </row>
    <row r="4">
      <c r="A4" s="4" t="s">
        <v>28</v>
      </c>
      <c r="B4" s="4">
        <v>1140.0</v>
      </c>
    </row>
    <row r="5">
      <c r="A5" s="4" t="s">
        <v>29</v>
      </c>
      <c r="B5" s="6">
        <v>0.96</v>
      </c>
    </row>
    <row r="6">
      <c r="A6" s="4" t="s">
        <v>30</v>
      </c>
      <c r="B6" s="4">
        <v>32.0</v>
      </c>
    </row>
    <row r="7">
      <c r="A7" s="4" t="s">
        <v>31</v>
      </c>
      <c r="B7" s="6">
        <v>0.032</v>
      </c>
    </row>
    <row r="8">
      <c r="A8" s="4" t="s">
        <v>32</v>
      </c>
      <c r="B8" s="4">
        <v>3200.0</v>
      </c>
    </row>
    <row r="9">
      <c r="A9" s="4" t="s">
        <v>33</v>
      </c>
      <c r="B9" s="6">
        <v>0.02</v>
      </c>
    </row>
    <row r="10">
      <c r="A10" s="4" t="s">
        <v>34</v>
      </c>
      <c r="B10" s="6">
        <v>0.02</v>
      </c>
    </row>
    <row r="11">
      <c r="A11" s="4" t="s">
        <v>35</v>
      </c>
      <c r="B11" s="4">
        <v>1.0</v>
      </c>
    </row>
    <row r="13">
      <c r="A13" s="1" t="s">
        <v>36</v>
      </c>
      <c r="B13" s="3"/>
    </row>
    <row r="14">
      <c r="A14" s="4" t="s">
        <v>37</v>
      </c>
      <c r="B14" s="5">
        <v>51325.0</v>
      </c>
    </row>
    <row r="15">
      <c r="A15" s="4" t="s">
        <v>38</v>
      </c>
      <c r="B15" s="5">
        <v>15000.0</v>
      </c>
    </row>
    <row r="16">
      <c r="A16" s="4" t="s">
        <v>39</v>
      </c>
      <c r="B16" s="5">
        <v>25635.59</v>
      </c>
    </row>
    <row r="17">
      <c r="A17" s="4" t="s">
        <v>40</v>
      </c>
      <c r="B17" s="5">
        <v>45000.0</v>
      </c>
    </row>
    <row r="18">
      <c r="A18" s="4" t="s">
        <v>41</v>
      </c>
      <c r="B18" s="5">
        <f>B28*'Model Inputs'!B24</f>
        <v>18009.78432</v>
      </c>
    </row>
    <row r="19">
      <c r="A19" s="4" t="s">
        <v>42</v>
      </c>
      <c r="B19" s="5">
        <v>10000.0</v>
      </c>
    </row>
    <row r="21" ht="15.75" customHeight="1">
      <c r="A21" s="1" t="s">
        <v>43</v>
      </c>
      <c r="B21" s="3"/>
    </row>
    <row r="22" ht="15.75" customHeight="1">
      <c r="A22" s="4" t="s">
        <v>44</v>
      </c>
      <c r="B22" s="5">
        <v>250.0</v>
      </c>
    </row>
    <row r="23" ht="15.75" customHeight="1">
      <c r="A23" s="4" t="s">
        <v>45</v>
      </c>
      <c r="B23" s="5">
        <v>400.0</v>
      </c>
    </row>
    <row r="24" ht="15.75" customHeight="1">
      <c r="A24" s="4" t="s">
        <v>46</v>
      </c>
      <c r="B24" s="5">
        <v>0.0</v>
      </c>
    </row>
    <row r="25" ht="15.75" customHeight="1"/>
    <row r="26" ht="15.75" customHeight="1">
      <c r="A26" s="1" t="s">
        <v>47</v>
      </c>
      <c r="B26" s="3"/>
    </row>
    <row r="27" ht="15.75" customHeight="1">
      <c r="A27" s="4" t="s">
        <v>48</v>
      </c>
      <c r="B27" s="5">
        <f>B4*B6*12</f>
        <v>437760</v>
      </c>
    </row>
    <row r="28" ht="15.75" customHeight="1">
      <c r="A28" s="4" t="s">
        <v>49</v>
      </c>
      <c r="B28" s="5">
        <f>B27*B5*(1-B9)+(B8*12)</f>
        <v>450244.608</v>
      </c>
    </row>
    <row r="29" ht="15.75" customHeight="1">
      <c r="A29" s="4" t="s">
        <v>50</v>
      </c>
      <c r="B29" s="5">
        <f>B14+B15+B16+B17+B18+B19</f>
        <v>164970.3743</v>
      </c>
    </row>
    <row r="30" ht="15.75" customHeight="1">
      <c r="A30" s="4" t="s">
        <v>51</v>
      </c>
      <c r="B30" s="5">
        <f>(B28)*((12-IFERROR('Model Inputs'!B46,0)+IFERROR('Model Inputs'!B46,0)*(1-IFERROR('Model Inputs'!B47,0)))/12)-B29</f>
        <v>240249.7729</v>
      </c>
    </row>
    <row r="31" ht="15.75" customHeight="1">
      <c r="A31" s="4" t="s">
        <v>52</v>
      </c>
      <c r="B31" s="6">
        <f>B29/B28</f>
        <v>0.3664016656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B3"/>
    <mergeCell ref="A13:B13"/>
    <mergeCell ref="A21:B21"/>
    <mergeCell ref="A26:B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6" width="11.22"/>
  </cols>
  <sheetData>
    <row r="1">
      <c r="A1" s="4" t="s">
        <v>53</v>
      </c>
    </row>
    <row r="3">
      <c r="A3" s="9" t="s">
        <v>54</v>
      </c>
      <c r="B3" s="9" t="s">
        <v>55</v>
      </c>
      <c r="C3" s="9" t="s">
        <v>56</v>
      </c>
      <c r="D3" s="9" t="s">
        <v>57</v>
      </c>
    </row>
    <row r="4">
      <c r="A4" s="4" t="s">
        <v>58</v>
      </c>
      <c r="B4" s="5">
        <f>'Model Inputs'!B7</f>
        <v>2637600</v>
      </c>
      <c r="C4" s="6">
        <f>IF('Model Inputs'!B6&gt;0,B4/'Model Inputs'!B6,0)</f>
        <v>0.7</v>
      </c>
      <c r="D4" s="6">
        <f>'Model Inputs'!B8</f>
        <v>0.0725</v>
      </c>
    </row>
    <row r="5">
      <c r="A5" s="4" t="s">
        <v>59</v>
      </c>
      <c r="B5" s="5">
        <f>'Model Inputs'!B56</f>
        <v>320000</v>
      </c>
      <c r="C5" s="6">
        <f>IF('Model Inputs'!B6&gt;0,B5/'Model Inputs'!B6,0)</f>
        <v>0.08492569002</v>
      </c>
      <c r="D5" s="6">
        <f>'Model Inputs'!B52</f>
        <v>0.05</v>
      </c>
    </row>
    <row r="6">
      <c r="A6" s="4" t="s">
        <v>60</v>
      </c>
      <c r="B6" s="5">
        <f>IF('Model Inputs'!B6&gt;0,('Model Inputs'!B6-'Model Inputs'!B7-'Model Inputs'!B56)*'Model Inputs'!B13,0)</f>
        <v>769880</v>
      </c>
      <c r="C6" s="6">
        <f>IF('Model Inputs'!B6&gt;0,B6/'Model Inputs'!B6,0)</f>
        <v>0.2043205945</v>
      </c>
      <c r="D6" s="6">
        <f>'Model Inputs'!B14</f>
        <v>0.07</v>
      </c>
    </row>
    <row r="7">
      <c r="A7" s="4" t="s">
        <v>61</v>
      </c>
      <c r="B7" s="5">
        <f>IF('Model Inputs'!B6&gt;0,('Model Inputs'!B6-'Model Inputs'!B7-'Model Inputs'!B56)*'Model Inputs'!B12,0)</f>
        <v>40520</v>
      </c>
      <c r="C7" s="6">
        <f>IF('Model Inputs'!B6&gt;0,B7/'Model Inputs'!B6,0)</f>
        <v>0.0107537155</v>
      </c>
      <c r="D7" s="4" t="s">
        <v>62</v>
      </c>
    </row>
    <row r="8">
      <c r="A8" s="4" t="s">
        <v>63</v>
      </c>
      <c r="B8" s="5">
        <f>'Model Inputs'!B6</f>
        <v>3768000</v>
      </c>
      <c r="C8" s="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6" width="11.22"/>
  </cols>
  <sheetData>
    <row r="1">
      <c r="A1" s="4" t="s">
        <v>64</v>
      </c>
    </row>
    <row r="2">
      <c r="H2" s="9" t="s">
        <v>65</v>
      </c>
    </row>
    <row r="3">
      <c r="A3" s="9" t="s">
        <v>66</v>
      </c>
      <c r="B3" s="9" t="s">
        <v>67</v>
      </c>
      <c r="C3" s="9" t="s">
        <v>68</v>
      </c>
      <c r="D3" s="9" t="s">
        <v>69</v>
      </c>
      <c r="E3" s="9" t="s">
        <v>70</v>
      </c>
      <c r="F3" s="9" t="s">
        <v>71</v>
      </c>
      <c r="H3" s="4">
        <f>-1*('Capital Stack'!B6+'Capital Stack'!B7)</f>
        <v>-810400</v>
      </c>
    </row>
    <row r="4">
      <c r="A4" s="4" t="s">
        <v>72</v>
      </c>
      <c r="B4" s="5">
        <f>'Model Inputs'!B16</f>
        <v>242051</v>
      </c>
      <c r="C4" s="5">
        <f>'Model Inputs'!B41</f>
        <v>191226</v>
      </c>
      <c r="D4" s="5">
        <f>(Assumptions!B22+Assumptions!B23+Assumptions!B24)*'Model Inputs'!B5</f>
        <v>20800</v>
      </c>
      <c r="E4" s="5">
        <f t="shared" ref="E4:E8" si="1">B4-C4-D4</f>
        <v>30025</v>
      </c>
      <c r="F4" s="6">
        <f>IF(('Capital Stack'!B6+'Capital Stack'!B7)&gt;0, E4/('Capital Stack'!B6+'Capital Stack'!B7), 0)</f>
        <v>0.03704960513</v>
      </c>
      <c r="H4" s="10">
        <f>E4 + IF(1='Model Inputs'!B29, Refinance!B6, 0)</f>
        <v>30025</v>
      </c>
    </row>
    <row r="5">
      <c r="A5" s="4" t="s">
        <v>73</v>
      </c>
      <c r="B5" s="5">
        <f>IF('Model Inputs'!B48&gt;0,'Model Inputs'!B48,('Model Inputs'!B16*(1+'Model Inputs'!B17)*(1-('Model Inputs'!B21-('Model Inputs'!B21-'Model Inputs'!B22)*MIN(1,'Model Inputs'!B23)/MAX(1,'Model Inputs'!B23)))))</f>
        <v>285274</v>
      </c>
      <c r="C5" s="5">
        <f>'Model Inputs'!B42</f>
        <v>208044.5904</v>
      </c>
      <c r="D5" s="5">
        <f>(Assumptions!B22+Assumptions!B23+Assumptions!B24)*'Model Inputs'!B5</f>
        <v>20800</v>
      </c>
      <c r="E5" s="5">
        <f t="shared" si="1"/>
        <v>56429.40963</v>
      </c>
      <c r="F5" s="6">
        <f>IF(('Capital Stack'!B6+'Capital Stack'!B7)&gt;0, E5/('Capital Stack'!B6+'Capital Stack'!B7), 0)</f>
        <v>0.06963155187</v>
      </c>
      <c r="H5" s="10">
        <f>E5 + IF(2='Model Inputs'!B29, Refinance!B6, 0)</f>
        <v>497427.4096</v>
      </c>
    </row>
    <row r="6">
      <c r="A6" s="4" t="s">
        <v>74</v>
      </c>
      <c r="B6" s="5">
        <f>(IF('Model Inputs'!B48&gt;0,'Model Inputs'!B48,('Model Inputs'!B16*(1+'Model Inputs'!B17)*(1-('Model Inputs'!B21-('Model Inputs'!B21-'Model Inputs'!B22)*MIN(1,'Model Inputs'!B23)/MAX(1,'Model Inputs'!B23))))))*POWER(1+'Model Inputs'!B17,1)</f>
        <v>294402.768</v>
      </c>
      <c r="C6" s="5">
        <f>'Model Inputs'!B43</f>
        <v>241561.6552</v>
      </c>
      <c r="D6" s="5">
        <f>(Assumptions!B22+Assumptions!B23+Assumptions!B24)*'Model Inputs'!B5</f>
        <v>20800</v>
      </c>
      <c r="E6" s="5">
        <f t="shared" si="1"/>
        <v>32041.11282</v>
      </c>
      <c r="F6" s="6">
        <f>IF(('Capital Stack'!B6+'Capital Stack'!B7)&gt;0, E6/('Capital Stack'!B6+'Capital Stack'!B7), 0)</f>
        <v>0.03953740477</v>
      </c>
      <c r="H6" s="10">
        <f>E6 + IF(3='Model Inputs'!B29, Refinance!B6, 0)</f>
        <v>32041.11282</v>
      </c>
    </row>
    <row r="7">
      <c r="A7" s="4" t="s">
        <v>75</v>
      </c>
      <c r="B7" s="5">
        <f>(IF('Model Inputs'!B48&gt;0,'Model Inputs'!B48,('Model Inputs'!B16*(1+'Model Inputs'!B17)*(1-('Model Inputs'!B21-('Model Inputs'!B21-'Model Inputs'!B22)*MIN(1,'Model Inputs'!B23)/MAX(1,'Model Inputs'!B23))))))*POWER(1+'Model Inputs'!B17,2)</f>
        <v>303823.6566</v>
      </c>
      <c r="C7" s="5">
        <f>'Model Inputs'!B44</f>
        <v>241561.6552</v>
      </c>
      <c r="D7" s="5">
        <f>(Assumptions!B22+Assumptions!B23+Assumptions!B24)*'Model Inputs'!B5</f>
        <v>20800</v>
      </c>
      <c r="E7" s="5">
        <f t="shared" si="1"/>
        <v>41462.0014</v>
      </c>
      <c r="F7" s="6">
        <f>IF(('Capital Stack'!B6+'Capital Stack'!B7)&gt;0, E7/('Capital Stack'!B6+'Capital Stack'!B7), 0)</f>
        <v>0.05116239067</v>
      </c>
      <c r="H7" s="10">
        <f>E7 + IF(4='Model Inputs'!B29, Refinance!B6, 0)</f>
        <v>41462.0014</v>
      </c>
    </row>
    <row r="8">
      <c r="A8" s="4" t="s">
        <v>76</v>
      </c>
      <c r="B8" s="5">
        <f>(IF('Model Inputs'!B48&gt;0,'Model Inputs'!B48,('Model Inputs'!B16*(1+'Model Inputs'!B17)*(1-('Model Inputs'!B21-('Model Inputs'!B21-'Model Inputs'!B22)*MIN(1,'Model Inputs'!B23)/MAX(1,'Model Inputs'!B23))))))*POWER(1+'Model Inputs'!B17,3)</f>
        <v>313546.0136</v>
      </c>
      <c r="C8" s="5">
        <f>'Model Inputs'!B45</f>
        <v>241561.6552</v>
      </c>
      <c r="D8" s="5">
        <f>(Assumptions!B22+Assumptions!B23+Assumptions!B24)*'Model Inputs'!B5</f>
        <v>20800</v>
      </c>
      <c r="E8" s="5">
        <f t="shared" si="1"/>
        <v>51184.35841</v>
      </c>
      <c r="F8" s="6">
        <f>IF(('Capital Stack'!B6+'Capital Stack'!B7)&gt;0, E8/('Capital Stack'!B6+'Capital Stack'!B7), 0)</f>
        <v>0.06315937612</v>
      </c>
      <c r="H8" s="10">
        <f>E8 + ((('Model Inputs'!B16*POWER(1+'Model Inputs'!B17,'Model Inputs'!B18))/'Model Inputs'!B19)*(1-'Model Inputs'!B20)) - (IF(AND('Model Inputs'!B29&gt;0,'Model Inputs'!B18&gt;'Model Inputs'!B29,'Model Inputs'!B38&gt;0),IF(MIN(MAX(0,('Model Inputs'!B18-'Model Inputs'!B29)*12),'Model Inputs'!B31*12)&gt;0,IF('Model Inputs'!B30&gt;0,'Model Inputs'!B38*POWER(1+'Model Inputs'!B30/12,MIN(MAX(0,('Model Inputs'!B18-'Model Inputs'!B29)*12),'Model Inputs'!B31*12))-ABS(PMT('Model Inputs'!B30/12,'Model Inputs'!B31*12,'Model Inputs'!B38))*((POWER(1+'Model Inputs'!B30/12,MIN(MAX(0,('Model Inputs'!B18-'Model Inputs'!B29)*12),'Model Inputs'!B31*12))-1)/('Model Inputs'!B30/12)),MAX(0,'Model Inputs'!B38-ABS(PMT('Model Inputs'!B30/12,'Model Inputs'!B31*12,'Model Inputs'!B38))*MIN(MAX(0,('Model Inputs'!B18-'Model Inputs'!B29)*12),'Model Inputs'!B31*12))),'Model Inputs'!B38),IF(MAX(0,MIN('Model Inputs'!B18*12,'Model Inputs'!B9*12)-'Model Inputs'!B25)&gt;0,IF('Model Inputs'!B8&gt;0,'Model Inputs'!B7*POWER(1+'Model Inputs'!B8/12,MAX(0,MIN('Model Inputs'!B18*12,'Model Inputs'!B9*12)-'Model Inputs'!B25))-ABS(PMT('Model Inputs'!B8/12,'Model Inputs'!B10*12,'Model Inputs'!B7))*((POWER(1+'Model Inputs'!B8/12,MAX(0,MIN('Model Inputs'!B18*12,'Model Inputs'!B9*12)-'Model Inputs'!B25))-1)/('Model Inputs'!B8/12)),MAX(0,'Model Inputs'!B7-ABS(PMT('Model Inputs'!B8/12,'Model Inputs'!B10*12,'Model Inputs'!B7))*MAX(0,MIN('Model Inputs'!B18*12,'Model Inputs'!B9*12)-'Model Inputs'!B25))),'Model Inputs'!B7))) + IF(5='Model Inputs'!B29, Refinance!B6, 0)</f>
        <v>1162937.015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67"/>
    <col customWidth="1" min="2" max="6" width="11.22"/>
  </cols>
  <sheetData>
    <row r="1">
      <c r="A1" s="4" t="s">
        <v>77</v>
      </c>
    </row>
    <row r="3">
      <c r="A3" s="4" t="s">
        <v>78</v>
      </c>
      <c r="B3" s="4" t="s">
        <v>79</v>
      </c>
    </row>
    <row r="4">
      <c r="A4" s="4" t="s">
        <v>80</v>
      </c>
      <c r="B4" s="4">
        <v>2.0</v>
      </c>
    </row>
    <row r="5">
      <c r="A5" s="4" t="s">
        <v>81</v>
      </c>
      <c r="B5" s="5">
        <v>3449464.0</v>
      </c>
    </row>
    <row r="6">
      <c r="A6" s="4" t="s">
        <v>82</v>
      </c>
      <c r="B6" s="5">
        <v>440998.0</v>
      </c>
    </row>
    <row r="7">
      <c r="A7" s="4" t="s">
        <v>83</v>
      </c>
      <c r="B7" s="5">
        <v>4450922.0</v>
      </c>
    </row>
    <row r="8">
      <c r="A8" s="4" t="s">
        <v>84</v>
      </c>
      <c r="B8" s="5">
        <v>2637600.0</v>
      </c>
    </row>
    <row r="9">
      <c r="A9" s="4" t="s">
        <v>85</v>
      </c>
      <c r="B9" s="5">
        <v>336372.0</v>
      </c>
    </row>
    <row r="10">
      <c r="A10" s="4" t="s">
        <v>86</v>
      </c>
      <c r="B10" s="5">
        <v>34495.0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67"/>
    <col customWidth="1" min="2" max="6" width="11.22"/>
  </cols>
  <sheetData>
    <row r="1">
      <c r="A1" s="4" t="s">
        <v>87</v>
      </c>
    </row>
    <row r="3">
      <c r="A3" s="4" t="s">
        <v>88</v>
      </c>
      <c r="B3" s="6">
        <v>0.7</v>
      </c>
    </row>
    <row r="4">
      <c r="A4" s="4" t="s">
        <v>89</v>
      </c>
      <c r="B4" s="6">
        <v>0.7</v>
      </c>
    </row>
    <row r="5">
      <c r="A5" s="4" t="s">
        <v>90</v>
      </c>
      <c r="B5" s="4">
        <v>24.0</v>
      </c>
    </row>
    <row r="6">
      <c r="A6" s="4" t="s">
        <v>78</v>
      </c>
      <c r="B6" s="4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4.78"/>
    <col customWidth="1" min="2" max="6" width="11.22"/>
  </cols>
  <sheetData>
    <row r="1">
      <c r="A1" s="4" t="s">
        <v>91</v>
      </c>
    </row>
    <row r="3">
      <c r="A3" s="9" t="s">
        <v>92</v>
      </c>
      <c r="B3" s="9" t="s">
        <v>93</v>
      </c>
    </row>
    <row r="4">
      <c r="A4" s="4" t="s">
        <v>94</v>
      </c>
      <c r="B4" s="5">
        <v>3200000.0</v>
      </c>
    </row>
    <row r="5">
      <c r="A5" s="4" t="s">
        <v>95</v>
      </c>
      <c r="B5" s="4">
        <v>32.0</v>
      </c>
    </row>
    <row r="6">
      <c r="A6" s="4" t="s">
        <v>96</v>
      </c>
      <c r="B6" s="5">
        <v>3768000.0</v>
      </c>
    </row>
    <row r="7">
      <c r="A7" s="4" t="s">
        <v>97</v>
      </c>
      <c r="B7" s="5">
        <v>2637600.0</v>
      </c>
    </row>
    <row r="8">
      <c r="A8" s="4" t="s">
        <v>98</v>
      </c>
      <c r="B8" s="6">
        <v>0.0725</v>
      </c>
    </row>
    <row r="9">
      <c r="A9" s="4" t="s">
        <v>99</v>
      </c>
      <c r="B9" s="4">
        <v>2.0</v>
      </c>
    </row>
    <row r="10">
      <c r="A10" s="4" t="s">
        <v>100</v>
      </c>
      <c r="B10" s="4">
        <v>30.0</v>
      </c>
    </row>
    <row r="11">
      <c r="A11" s="4" t="s">
        <v>101</v>
      </c>
      <c r="B11" s="6">
        <v>0.7</v>
      </c>
    </row>
    <row r="12">
      <c r="A12" s="4" t="s">
        <v>102</v>
      </c>
      <c r="B12" s="6">
        <v>0.05</v>
      </c>
    </row>
    <row r="13">
      <c r="A13" s="4" t="s">
        <v>103</v>
      </c>
      <c r="B13" s="6">
        <v>0.95</v>
      </c>
    </row>
    <row r="14">
      <c r="A14" s="4" t="s">
        <v>104</v>
      </c>
      <c r="B14" s="6">
        <v>0.07</v>
      </c>
    </row>
    <row r="15">
      <c r="A15" s="4" t="s">
        <v>105</v>
      </c>
      <c r="B15" s="6">
        <v>0.3</v>
      </c>
    </row>
    <row r="16">
      <c r="A16" s="4" t="s">
        <v>106</v>
      </c>
      <c r="B16" s="5">
        <v>242051.0</v>
      </c>
    </row>
    <row r="17">
      <c r="A17" s="4" t="s">
        <v>107</v>
      </c>
      <c r="B17" s="6">
        <v>0.032</v>
      </c>
    </row>
    <row r="18">
      <c r="A18" s="4" t="s">
        <v>108</v>
      </c>
      <c r="B18" s="4">
        <v>5.0</v>
      </c>
    </row>
    <row r="19">
      <c r="A19" s="4" t="s">
        <v>109</v>
      </c>
      <c r="B19" s="6">
        <v>0.0625</v>
      </c>
    </row>
    <row r="20">
      <c r="A20" s="4" t="s">
        <v>110</v>
      </c>
      <c r="B20" s="6">
        <v>0.025</v>
      </c>
    </row>
    <row r="21" ht="15.75" customHeight="1">
      <c r="A21" s="4" t="s">
        <v>111</v>
      </c>
      <c r="B21" s="6">
        <v>0.02</v>
      </c>
    </row>
    <row r="22" ht="15.75" customHeight="1">
      <c r="A22" s="4" t="s">
        <v>112</v>
      </c>
      <c r="B22" s="6">
        <v>0.02</v>
      </c>
    </row>
    <row r="23" ht="15.75" customHeight="1">
      <c r="A23" s="4" t="s">
        <v>113</v>
      </c>
      <c r="B23" s="4">
        <v>1.0</v>
      </c>
    </row>
    <row r="24" ht="15.75" customHeight="1">
      <c r="A24" s="4" t="s">
        <v>114</v>
      </c>
      <c r="B24" s="6">
        <v>0.04</v>
      </c>
    </row>
    <row r="25" ht="15.75" customHeight="1">
      <c r="A25" s="4" t="s">
        <v>90</v>
      </c>
      <c r="B25" s="4">
        <v>24.0</v>
      </c>
    </row>
    <row r="26" ht="15.75" customHeight="1">
      <c r="A26" s="4" t="s">
        <v>115</v>
      </c>
      <c r="B26" s="6">
        <v>0.01</v>
      </c>
    </row>
    <row r="27" ht="15.75" customHeight="1">
      <c r="A27" s="4" t="s">
        <v>89</v>
      </c>
      <c r="B27" s="6">
        <v>0.7</v>
      </c>
    </row>
    <row r="28" ht="15.75" customHeight="1">
      <c r="A28" s="4" t="s">
        <v>116</v>
      </c>
      <c r="B28" s="4">
        <v>1.0</v>
      </c>
    </row>
    <row r="29" ht="15.75" customHeight="1">
      <c r="A29" s="4" t="s">
        <v>80</v>
      </c>
      <c r="B29" s="4">
        <v>2.0</v>
      </c>
    </row>
    <row r="30" ht="15.75" customHeight="1">
      <c r="A30" s="4" t="s">
        <v>117</v>
      </c>
      <c r="B30" s="6">
        <v>0.0575</v>
      </c>
    </row>
    <row r="31" ht="15.75" customHeight="1">
      <c r="A31" s="4" t="s">
        <v>118</v>
      </c>
      <c r="B31" s="4">
        <v>30.0</v>
      </c>
    </row>
    <row r="32" ht="15.75" customHeight="1">
      <c r="A32" s="4" t="s">
        <v>119</v>
      </c>
      <c r="B32" s="4">
        <v>10.0</v>
      </c>
    </row>
    <row r="33" ht="15.75" customHeight="1">
      <c r="A33" s="4" t="s">
        <v>120</v>
      </c>
      <c r="B33" s="6">
        <v>0.775</v>
      </c>
    </row>
    <row r="34" ht="15.75" customHeight="1">
      <c r="A34" s="4" t="s">
        <v>121</v>
      </c>
      <c r="B34" s="4">
        <v>1.25</v>
      </c>
    </row>
    <row r="35" ht="15.75" customHeight="1">
      <c r="A35" s="4" t="s">
        <v>122</v>
      </c>
      <c r="B35" s="6">
        <v>0.055</v>
      </c>
    </row>
    <row r="36" ht="15.75" customHeight="1">
      <c r="A36" s="4" t="s">
        <v>123</v>
      </c>
      <c r="B36" s="6">
        <v>0.01</v>
      </c>
    </row>
    <row r="37" ht="15.75" customHeight="1">
      <c r="A37" s="4" t="s">
        <v>78</v>
      </c>
      <c r="B37" s="4" t="s">
        <v>79</v>
      </c>
    </row>
    <row r="38" ht="15.75" customHeight="1">
      <c r="A38" s="4" t="s">
        <v>124</v>
      </c>
      <c r="B38" s="5">
        <f>IF('Model Inputs'!B37="ltv", 'Model Inputs'!B39, IF('Model Inputs'!B37="dscr", 'Model Inputs'!B40, MIN('Model Inputs'!B39,'Model Inputs'!B40)))</f>
        <v>3449464.4</v>
      </c>
    </row>
    <row r="39" ht="15.75" customHeight="1">
      <c r="A39" s="4" t="s">
        <v>125</v>
      </c>
      <c r="B39" s="5">
        <f>(('Model Inputs'!B16*POWER(1+'Model Inputs'!B17,'Model Inputs'!B29-1)*(1-IF('Model Inputs'!B29=1,'Model Inputs'!B21, 'Model Inputs'!B21-('Model Inputs'!B21-'Model Inputs'!B22)*MIN('Model Inputs'!B29-1,'Model Inputs'!B23)/MAX(1,'Model Inputs'!B23))))/'Model Inputs'!B35)*'Model Inputs'!B33</f>
        <v>3449464.4</v>
      </c>
    </row>
    <row r="40" ht="15.75" customHeight="1">
      <c r="A40" s="4" t="s">
        <v>126</v>
      </c>
      <c r="B40" s="5">
        <f>((('Model Inputs'!B16*POWER(1+'Model Inputs'!B17,'Model Inputs'!B29-1)*(1-IF('Model Inputs'!B29=1,'Model Inputs'!B21, 'Model Inputs'!B21-('Model Inputs'!B21-'Model Inputs'!B22)*MIN('Model Inputs'!B29-1,'Model Inputs'!B23)/MAX(1,'Model Inputs'!B23))))/'Model Inputs'!B34)/12)*((1-POWER(1+'Model Inputs'!B30/12,-'Model Inputs'!B31*12))/('Model Inputs'!B30/12))</f>
        <v>2796573.974</v>
      </c>
    </row>
    <row r="41" ht="15.75" customHeight="1">
      <c r="A41" s="4" t="s">
        <v>127</v>
      </c>
      <c r="B41" s="5">
        <f>IF(1&lt;='Model Inputs'!B29, MAX(0,MIN(1*12,'Model Inputs'!B25)-0*12)*('Model Inputs'!B7*'Model Inputs'!B8/12) + (12-MAX(0,MIN(1*12,'Model Inputs'!B25)-0*12))*ABS(PMT('Model Inputs'!B8/12,'Model Inputs'!B10*12,'Model Inputs'!B7)) + IF('Model Inputs'!B49=1, MAX(0, MIN(1*12, IF('Model Inputs'!B29&gt;0, 'Model Inputs'!B29*12, 99999), 'Model Inputs'!B53+'Model Inputs'!B54) - MAX(0*12, 'Model Inputs'!B53))*'Model Inputs'!B58, 0), ABS(PMT('Model Inputs'!B30/12,'Model Inputs'!B31*12,'Model Inputs'!B38))*12)</f>
        <v>191226</v>
      </c>
    </row>
    <row r="42" ht="15.75" customHeight="1">
      <c r="A42" s="4" t="s">
        <v>128</v>
      </c>
      <c r="B42" s="5">
        <f>IF(2&lt;='Model Inputs'!B29, MAX(0,MIN(2*12,'Model Inputs'!B25)-1*12)*('Model Inputs'!B7*'Model Inputs'!B8/12) + (12-MAX(0,MIN(2*12,'Model Inputs'!B25)-1*12))*ABS(PMT('Model Inputs'!B8/12,'Model Inputs'!B10*12,'Model Inputs'!B7)) + IF('Model Inputs'!B49=1, MAX(0, MIN(2*12, IF('Model Inputs'!B29&gt;0, 'Model Inputs'!B29*12, 99999), 'Model Inputs'!B53+'Model Inputs'!B54) - MAX(1*12, 'Model Inputs'!B53))*'Model Inputs'!B58, 0), ABS(PMT('Model Inputs'!B30/12,'Model Inputs'!B31*12,'Model Inputs'!B38))*12)</f>
        <v>208044.5904</v>
      </c>
    </row>
    <row r="43" ht="15.75" customHeight="1">
      <c r="A43" s="4" t="s">
        <v>129</v>
      </c>
      <c r="B43" s="5">
        <f>IF(3&lt;='Model Inputs'!B29, MAX(0,MIN(3*12,'Model Inputs'!B25)-2*12)*('Model Inputs'!B7*'Model Inputs'!B8/12) + (12-MAX(0,MIN(3*12,'Model Inputs'!B25)-2*12))*ABS(PMT('Model Inputs'!B8/12,'Model Inputs'!B10*12,'Model Inputs'!B7)) + IF('Model Inputs'!B49=1, MAX(0, MIN(3*12, IF('Model Inputs'!B29&gt;0, 'Model Inputs'!B29*12, 99999), 'Model Inputs'!B53+'Model Inputs'!B54) - MAX(2*12, 'Model Inputs'!B53))*'Model Inputs'!B58, 0), ABS(PMT('Model Inputs'!B30/12,'Model Inputs'!B31*12,'Model Inputs'!B38))*12)</f>
        <v>241561.6552</v>
      </c>
    </row>
    <row r="44" ht="15.75" customHeight="1">
      <c r="A44" s="4" t="s">
        <v>130</v>
      </c>
      <c r="B44" s="5">
        <f>IF(4&lt;='Model Inputs'!B29, MAX(0,MIN(4*12,'Model Inputs'!B25)-3*12)*('Model Inputs'!B7*'Model Inputs'!B8/12) + (12-MAX(0,MIN(4*12,'Model Inputs'!B25)-3*12))*ABS(PMT('Model Inputs'!B8/12,'Model Inputs'!B10*12,'Model Inputs'!B7)) + IF('Model Inputs'!B49=1, MAX(0, MIN(4*12, IF('Model Inputs'!B29&gt;0, 'Model Inputs'!B29*12, 99999), 'Model Inputs'!B53+'Model Inputs'!B54) - MAX(3*12, 'Model Inputs'!B53))*'Model Inputs'!B58, 0), ABS(PMT('Model Inputs'!B30/12,'Model Inputs'!B31*12,'Model Inputs'!B38))*12)</f>
        <v>241561.6552</v>
      </c>
    </row>
    <row r="45" ht="15.75" customHeight="1">
      <c r="A45" s="4" t="s">
        <v>131</v>
      </c>
      <c r="B45" s="5">
        <f>IF(5&lt;='Model Inputs'!B29, MAX(0,MIN(5*12,'Model Inputs'!B25)-4*12)*('Model Inputs'!B7*'Model Inputs'!B8/12) + (12-MAX(0,MIN(5*12,'Model Inputs'!B25)-4*12))*ABS(PMT('Model Inputs'!B8/12,'Model Inputs'!B10*12,'Model Inputs'!B7)) + IF('Model Inputs'!B49=1, MAX(0, MIN(5*12, IF('Model Inputs'!B29&gt;0, 'Model Inputs'!B29*12, 99999), 'Model Inputs'!B53+'Model Inputs'!B54) - MAX(4*12, 'Model Inputs'!B53))*'Model Inputs'!B58, 0), ABS(PMT('Model Inputs'!B30/12,'Model Inputs'!B31*12,'Model Inputs'!B38))*12)</f>
        <v>241561.6552</v>
      </c>
    </row>
    <row r="46" ht="15.75" customHeight="1">
      <c r="A46" s="4" t="s">
        <v>132</v>
      </c>
      <c r="B46" s="4">
        <v>8.0</v>
      </c>
    </row>
    <row r="47" ht="15.75" customHeight="1">
      <c r="A47" s="4" t="s">
        <v>133</v>
      </c>
      <c r="B47" s="4">
        <v>0.15</v>
      </c>
    </row>
    <row r="48" ht="15.75" customHeight="1">
      <c r="A48" s="4" t="s">
        <v>134</v>
      </c>
      <c r="B48" s="5">
        <v>285274.0</v>
      </c>
    </row>
    <row r="49" ht="15.75" customHeight="1">
      <c r="A49" s="4" t="s">
        <v>135</v>
      </c>
      <c r="B49" s="4">
        <v>1.0</v>
      </c>
    </row>
    <row r="50" ht="15.75" customHeight="1">
      <c r="A50" s="4" t="s">
        <v>136</v>
      </c>
      <c r="B50" s="6">
        <v>0.1</v>
      </c>
    </row>
    <row r="51" ht="15.75" customHeight="1">
      <c r="A51" s="4" t="s">
        <v>137</v>
      </c>
      <c r="B51" s="5">
        <v>0.0</v>
      </c>
    </row>
    <row r="52" ht="15.75" customHeight="1">
      <c r="A52" s="4" t="s">
        <v>138</v>
      </c>
      <c r="B52" s="6">
        <v>0.05</v>
      </c>
    </row>
    <row r="53" ht="15.75" customHeight="1">
      <c r="A53" s="4" t="s">
        <v>139</v>
      </c>
      <c r="B53" s="4">
        <v>12.0</v>
      </c>
    </row>
    <row r="54" ht="15.75" customHeight="1">
      <c r="A54" s="4" t="s">
        <v>140</v>
      </c>
      <c r="B54" s="4">
        <v>12.0</v>
      </c>
    </row>
    <row r="55" ht="15.75" customHeight="1">
      <c r="A55" s="4" t="s">
        <v>141</v>
      </c>
      <c r="B55" s="4">
        <v>1.0</v>
      </c>
    </row>
    <row r="56" ht="15.75" customHeight="1">
      <c r="A56" s="4" t="s">
        <v>142</v>
      </c>
      <c r="B56" s="5">
        <f>IF(B49=1,IF(B51&gt;0,B51,B4*B50),0)</f>
        <v>320000</v>
      </c>
    </row>
    <row r="57" ht="15.75" customHeight="1">
      <c r="A57" s="4" t="s">
        <v>143</v>
      </c>
      <c r="B57" s="5">
        <f>IF(B49=1,IF(B55=1,B56*POWER(1+B52/12,B53),B56+B56*B52/12*B53),0)</f>
        <v>336371.8073</v>
      </c>
    </row>
    <row r="58" ht="15.75" customHeight="1">
      <c r="A58" s="4" t="s">
        <v>144</v>
      </c>
      <c r="B58" s="5">
        <f>B57*B52/12</f>
        <v>1401.549197</v>
      </c>
    </row>
    <row r="59" ht="15.75" customHeight="1">
      <c r="A59" s="4" t="s">
        <v>145</v>
      </c>
      <c r="B59" s="5">
        <f>IF(AND(B49=1,B29&gt;0),IF(B29*12&lt;=B53,IF(B55=1,B56*POWER(1+B52/12,B29*12),B56+B56*B52/12*(B29*12)),B57),0)</f>
        <v>336371.8073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