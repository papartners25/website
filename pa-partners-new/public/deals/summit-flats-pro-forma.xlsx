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ecutive Summary" sheetId="1" r:id="rId4"/>
    <sheet state="visible" name="Assumptions" sheetId="2" r:id="rId5"/>
    <sheet state="visible" name="Capital Stack" sheetId="3" r:id="rId6"/>
    <sheet state="visible" name="Cash Flow" sheetId="4" r:id="rId7"/>
    <sheet state="visible" name="Refinance" sheetId="5" r:id="rId8"/>
    <sheet state="visible" name="Notes" sheetId="6" r:id="rId9"/>
    <sheet state="visible" name="Model Inputs" sheetId="7" r:id="rId10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9">
      <text>
        <t xml:space="preserve">Bottom of the funnel, whereas Marketing &amp; Advertising is the top of the funnel for leasing expenses.
	-Evan Spencer</t>
      </text>
    </comment>
    <comment authorId="0" ref="A25">
      <text>
        <t xml:space="preserve">Includes in taxes here.
	-Evan Spencer</t>
      </text>
    </comment>
    <comment authorId="0" ref="A24">
      <text>
        <t xml:space="preserve">Regular preventative service (bi-annually) for all buildings to prevent infestations and protect the asset.
	-Evan Spencer</t>
      </text>
    </comment>
    <comment authorId="0" ref="A23">
      <text>
        <t xml:space="preserve">A non-negotiable seasonal expense in Columbus, OH.
	-Evan Spencer</t>
      </text>
    </comment>
    <comment authorId="0" ref="A22">
      <text>
        <t xml:space="preserve">Includes lawn care, seasonal clean-up, and general groundskeeping to maintain curb appeal, which is vital for attracting quality tenants.
	-Evan Spencer</t>
      </text>
    </comment>
    <comment authorId="0" ref="A21">
      <text>
        <t xml:space="preserve">For listing fees (Zillow, Apartments.com), digital advertising, and signage, especially crucial for leasing up renovated units at target rents.
	-Evan Spencer</t>
      </text>
    </comment>
    <comment authorId="0" ref="A19">
      <text>
        <t xml:space="preserve">Covers bank fees, property management software (e.g., AppFolio, Yardi), office supplies, and other general administrative costs.
	-Evan Spencer</t>
      </text>
    </comment>
    <comment authorId="0" ref="A20">
      <text>
        <t xml:space="preserve">Budget for legal services (lease review, eviction filings) and accounting/tax preparation. Essential for professional operations.
	-Evan Spencer</t>
      </text>
    </comment>
  </commentList>
</comments>
</file>

<file path=xl/sharedStrings.xml><?xml version="1.0" encoding="utf-8"?>
<sst xmlns="http://schemas.openxmlformats.org/spreadsheetml/2006/main" count="212" uniqueCount="198">
  <si>
    <t>Multi-Family Investment Pro Forma</t>
  </si>
  <si>
    <t>Property Name:</t>
  </si>
  <si>
    <t>Weinland Park Summit Portfolio</t>
  </si>
  <si>
    <t>Date:</t>
  </si>
  <si>
    <t>10/29/2025</t>
  </si>
  <si>
    <t>PROPERTY OVERVIEW</t>
  </si>
  <si>
    <t>Total Units:</t>
  </si>
  <si>
    <t>Acquisition Price:</t>
  </si>
  <si>
    <t>Price per Unit:</t>
  </si>
  <si>
    <t>Total Project Cost:</t>
  </si>
  <si>
    <t>Equity Required:</t>
  </si>
  <si>
    <t>Debt Amount:</t>
  </si>
  <si>
    <t>LTC Ratio:</t>
  </si>
  <si>
    <t>ACQUISITION &amp; DEVELOPMENT COSTS</t>
  </si>
  <si>
    <t>Purchase Price</t>
  </si>
  <si>
    <t xml:space="preserve">  Contract Purchase Price</t>
  </si>
  <si>
    <t xml:space="preserve">  Units</t>
  </si>
  <si>
    <t xml:space="preserve">  Price per Unit</t>
  </si>
  <si>
    <t>Purchase Price Subtotal</t>
  </si>
  <si>
    <t>Closing Costs</t>
  </si>
  <si>
    <t xml:space="preserve">  Title &amp; Escrow</t>
  </si>
  <si>
    <t xml:space="preserve">  Legal Fees</t>
  </si>
  <si>
    <t xml:space="preserve">  Due Diligence</t>
  </si>
  <si>
    <t xml:space="preserve">  Loan Fees</t>
  </si>
  <si>
    <t xml:space="preserve">  Other Closing Costs</t>
  </si>
  <si>
    <t>Closing Costs Subtotal</t>
  </si>
  <si>
    <t>Hard Costs</t>
  </si>
  <si>
    <t xml:space="preserve">  Renovations/CapEx</t>
  </si>
  <si>
    <t xml:space="preserve">  Construction/Development</t>
  </si>
  <si>
    <t>-</t>
  </si>
  <si>
    <t xml:space="preserve">  FF&amp;E</t>
  </si>
  <si>
    <t>Hard Costs Subtotal</t>
  </si>
  <si>
    <t>Soft Costs</t>
  </si>
  <si>
    <t xml:space="preserve">  Architecture/Engineering</t>
  </si>
  <si>
    <t xml:space="preserve">  GP Sponsor Acquisition Fee</t>
  </si>
  <si>
    <t xml:space="preserve">  Marketing/Leasing</t>
  </si>
  <si>
    <t xml:space="preserve">  Contingency (5%)</t>
  </si>
  <si>
    <t>Soft Costs Subtotal</t>
  </si>
  <si>
    <t>TOTAL PROJECT COST</t>
  </si>
  <si>
    <t>Note: GP Sponsor Acquisition Fee covers general partner acquisition services and development liaison responsibilities.</t>
  </si>
  <si>
    <t>KEY METRICS</t>
  </si>
  <si>
    <t>Cash-on-Cash Return:</t>
  </si>
  <si>
    <t>Levered IRR:</t>
  </si>
  <si>
    <t>Equity Multiple:</t>
  </si>
  <si>
    <t>DSCR (Year 1):</t>
  </si>
  <si>
    <t>Avg DSCR (Hold):</t>
  </si>
  <si>
    <t>LENDER UNDERWRITING</t>
  </si>
  <si>
    <t>DSCR Day-1 (Ramped):</t>
  </si>
  <si>
    <t>DSCR Stabilized:</t>
  </si>
  <si>
    <t>Debt Yield Day-1:</t>
  </si>
  <si>
    <t>Debt Yield Stabilized:</t>
  </si>
  <si>
    <t>Suggested IO Months:</t>
  </si>
  <si>
    <t>Interest Reserve (est.):</t>
  </si>
  <si>
    <t>KEY ASSUMPTIONS &amp; CALCULATIONS</t>
  </si>
  <si>
    <t>REVENUE ASSUMPTIONS</t>
  </si>
  <si>
    <t>Average Monthly Rent (Per Unit):</t>
  </si>
  <si>
    <t>Occupancy Rate:</t>
  </si>
  <si>
    <t>Units:</t>
  </si>
  <si>
    <t>Annual Rent Growth:</t>
  </si>
  <si>
    <t>Other Income (Monthly):</t>
  </si>
  <si>
    <t>Delinquency Y1:</t>
  </si>
  <si>
    <t>Delinquency Y2+ (Stabilized):</t>
  </si>
  <si>
    <t>Delinquency Ramp Years:</t>
  </si>
  <si>
    <t>OPERATING EXPENSES</t>
  </si>
  <si>
    <t>Property Taxes:</t>
  </si>
  <si>
    <t>Insurance:</t>
  </si>
  <si>
    <t>Utilities:</t>
  </si>
  <si>
    <t>Repairs &amp; Maintenance:</t>
  </si>
  <si>
    <t>Management Fee:</t>
  </si>
  <si>
    <t>Administrative (G&amp;A)</t>
  </si>
  <si>
    <t>Professional Fees</t>
  </si>
  <si>
    <t>Marketing &amp; Advertising</t>
  </si>
  <si>
    <t>Landscaping &amp; Grounds</t>
  </si>
  <si>
    <t>Snow Removal</t>
  </si>
  <si>
    <t>Pest Control</t>
  </si>
  <si>
    <t>Trash Removal</t>
  </si>
  <si>
    <t>RESERVES (Per Unit)</t>
  </si>
  <si>
    <t>Annual CapEx ($/Unit):</t>
  </si>
  <si>
    <t>Leasing Costs ($/Unit):</t>
  </si>
  <si>
    <t>TI Allowance ($/Unit):</t>
  </si>
  <si>
    <t>KEY RESULTS</t>
  </si>
  <si>
    <t>Gross Rental Income:</t>
  </si>
  <si>
    <t>Effective Gross Income:</t>
  </si>
  <si>
    <t>YEAR 1 (WITH RAMP)</t>
  </si>
  <si>
    <t>Year 1 EGI:</t>
  </si>
  <si>
    <t>Year 1 Management Fee:</t>
  </si>
  <si>
    <t>Year 1 Total OpEx:</t>
  </si>
  <si>
    <t>Year 1 NOI:</t>
  </si>
  <si>
    <t>Year 1 Expense Ratio:</t>
  </si>
  <si>
    <t>STABILIZED (YEAR 2+)</t>
  </si>
  <si>
    <t>Stabilized EGI:</t>
  </si>
  <si>
    <t>Stabilized Management Fee:</t>
  </si>
  <si>
    <t>Stabilized Total OpEx:</t>
  </si>
  <si>
    <t>Stabilized NOI:</t>
  </si>
  <si>
    <t>Stabilized Expense Ratio:</t>
  </si>
  <si>
    <t>CAPITAL STACK</t>
  </si>
  <si>
    <t>Source</t>
  </si>
  <si>
    <t>Amount</t>
  </si>
  <si>
    <t>% of Total</t>
  </si>
  <si>
    <t>Cost/Return</t>
  </si>
  <si>
    <t>Senior Debt</t>
  </si>
  <si>
    <t>Seller Note</t>
  </si>
  <si>
    <t>LP Equity</t>
  </si>
  <si>
    <t>GP Equity</t>
  </si>
  <si>
    <t>Residual</t>
  </si>
  <si>
    <t>Total</t>
  </si>
  <si>
    <t>5-YEAR CASH FLOW PROJECTION</t>
  </si>
  <si>
    <t>Total CF</t>
  </si>
  <si>
    <t>Year</t>
  </si>
  <si>
    <t>NOI</t>
  </si>
  <si>
    <t>Debt Service</t>
  </si>
  <si>
    <t>Reserves</t>
  </si>
  <si>
    <t>Before-Tax CF</t>
  </si>
  <si>
    <t>Cash-on-Cash</t>
  </si>
  <si>
    <t>Year 1</t>
  </si>
  <si>
    <t>Year 2</t>
  </si>
  <si>
    <t>Year 3</t>
  </si>
  <si>
    <t>Year 4</t>
  </si>
  <si>
    <t>Year 5</t>
  </si>
  <si>
    <t>Year 6</t>
  </si>
  <si>
    <t>Year 7</t>
  </si>
  <si>
    <t>Year 8</t>
  </si>
  <si>
    <t>Year 9</t>
  </si>
  <si>
    <t>Year 10</t>
  </si>
  <si>
    <t>REFINANCE SUMMARY</t>
  </si>
  <si>
    <t>Input Field</t>
  </si>
  <si>
    <t>Value</t>
  </si>
  <si>
    <t>Sizing Method</t>
  </si>
  <si>
    <t>lesser</t>
  </si>
  <si>
    <t>Refi Year</t>
  </si>
  <si>
    <t>Perm Loan Amount</t>
  </si>
  <si>
    <t>Net Refi Proceeds</t>
  </si>
  <si>
    <t>Value at Refi</t>
  </si>
  <si>
    <t>Bridge Payoff</t>
  </si>
  <si>
    <t>Seller Note Payoff</t>
  </si>
  <si>
    <t>Perm Points/Fees</t>
  </si>
  <si>
    <t>NOTES</t>
  </si>
  <si>
    <t>Bridge LTV</t>
  </si>
  <si>
    <t>Bridge LTC</t>
  </si>
  <si>
    <t>Bridge IO Months</t>
  </si>
  <si>
    <t>ALL MODEL INPUTS - FOR RELOADING</t>
  </si>
  <si>
    <t>Units</t>
  </si>
  <si>
    <t>Total Project Cost</t>
  </si>
  <si>
    <t>Loan Amount</t>
  </si>
  <si>
    <t>Interest Rate</t>
  </si>
  <si>
    <t>Loan Term</t>
  </si>
  <si>
    <t>Amortization</t>
  </si>
  <si>
    <t>LTV</t>
  </si>
  <si>
    <t>GP Investment %</t>
  </si>
  <si>
    <t>LP Investment %</t>
  </si>
  <si>
    <t>Preferred Return</t>
  </si>
  <si>
    <t>GP Promote</t>
  </si>
  <si>
    <t>Year 1 NOI</t>
  </si>
  <si>
    <t>NOI Growth Rate</t>
  </si>
  <si>
    <t>Hold Period</t>
  </si>
  <si>
    <t>Exit Cap Rate</t>
  </si>
  <si>
    <t>Selling Costs</t>
  </si>
  <si>
    <t>Delinquency Y1</t>
  </si>
  <si>
    <t>Delinquency Y2+ (Stabilized)</t>
  </si>
  <si>
    <t>Delinquency Ramp Years</t>
  </si>
  <si>
    <t>Management Fee % of EGI</t>
  </si>
  <si>
    <t>Bridge Points</t>
  </si>
  <si>
    <t>Auto-size to LTC</t>
  </si>
  <si>
    <t>Perm Rate</t>
  </si>
  <si>
    <t>Perm Amort (yrs)</t>
  </si>
  <si>
    <t>Perm Term (yrs)</t>
  </si>
  <si>
    <t>Perm LTV</t>
  </si>
  <si>
    <t>Perm DSCR</t>
  </si>
  <si>
    <t>Refi Cap Rate</t>
  </si>
  <si>
    <t>Perm Points</t>
  </si>
  <si>
    <t>Perm Loan Sized (PV)</t>
  </si>
  <si>
    <t>Perm Loan LTV</t>
  </si>
  <si>
    <t>Perm Loan DSCR</t>
  </si>
  <si>
    <t>Debt Service Year 1</t>
  </si>
  <si>
    <t>Debt Service Year 2</t>
  </si>
  <si>
    <t>Debt Service Year 3</t>
  </si>
  <si>
    <t>Debt Service Year 4</t>
  </si>
  <si>
    <t>Debt Service Year 5</t>
  </si>
  <si>
    <t>Y1 Ramp Months</t>
  </si>
  <si>
    <t>Y1 Ramp Discount</t>
  </si>
  <si>
    <t>Year 2 NOI (Stabilized)</t>
  </si>
  <si>
    <t>Seller Note Enabled</t>
  </si>
  <si>
    <t>Seller Note % of Purchase</t>
  </si>
  <si>
    <t>Seller Note Fixed Amount</t>
  </si>
  <si>
    <t>Seller Interest Rate</t>
  </si>
  <si>
    <t>Seller Accrual Months</t>
  </si>
  <si>
    <t>Seller Payment Months</t>
  </si>
  <si>
    <t>Seller Compounding (1=yes)</t>
  </si>
  <si>
    <t>Seller Principal</t>
  </si>
  <si>
    <t>Seller Balance After Accrual</t>
  </si>
  <si>
    <t>Seller Monthly IO</t>
  </si>
  <si>
    <t>Seller Payoff at Refi</t>
  </si>
  <si>
    <t>Year 2 Sale Instead of Refi</t>
  </si>
  <si>
    <t>Debt Service Year 6</t>
  </si>
  <si>
    <t>Debt Service Year 7</t>
  </si>
  <si>
    <t>Debt Service Year 8</t>
  </si>
  <si>
    <t>Debt Service Year 9</t>
  </si>
  <si>
    <t>Debt Service Year 10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</si>
</sst>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\$#,##0"/>
    <numFmt numFmtId="165" formatCode="0.00\x"/>
    <numFmt numFmtId="166" formatCode="[$$-409]#,##0.00;[RED]\-[$$-409]#,##0.00"/>
    <numFmt numFmtId="167" formatCode="&quot;$&quot;#,##0.00"/>
  </numFmts>
  <fonts count="12">
    <font>
      <sz val="12.0"/>
      <color theme="1"/>
      <name val="Calibri"/>
      <scheme val="minor"/>
    </font>
    <font>
      <sz val="11.0"/>
      <color theme="1"/>
      <name val="Cambria"/>
    </font>
    <font>
      <b/>
      <sz val="11.0"/>
      <color rgb="FFFFFFFF"/>
      <name val="Cambria"/>
    </font>
    <font>
      <b/>
      <sz val="11.0"/>
      <color theme="1"/>
      <name val="Cambria"/>
    </font>
    <font>
      <sz val="11.0"/>
      <color rgb="FF0000FF"/>
      <name val="Cambria"/>
    </font>
    <font>
      <i/>
      <sz val="11.0"/>
      <color theme="1"/>
      <name val="Cambria"/>
    </font>
    <font>
      <sz val="11.0"/>
      <color rgb="FF008000"/>
      <name val="Cambria"/>
    </font>
    <font>
      <sz val="11.0"/>
      <color rgb="FF1A1C1E"/>
      <name val="Cambria"/>
    </font>
    <font>
      <sz val="11.0"/>
      <color rgb="FFFFFFFF"/>
      <name val="Cambria"/>
    </font>
    <font>
      <b/>
      <sz val="11.0"/>
      <color rgb="FFFF0000"/>
      <name val="Cambria"/>
    </font>
    <font>
      <b/>
      <sz val="11.0"/>
      <color rgb="FF0000FF"/>
      <name val="Cambria"/>
    </font>
    <font>
      <b/>
      <sz val="11.0"/>
      <color rgb="FF008000"/>
      <name val="Cambria"/>
    </font>
  </fonts>
  <fills count="5">
    <fill>
      <patternFill patternType="none"/>
    </fill>
    <fill>
      <patternFill patternType="lightGray"/>
    </fill>
    <fill>
      <patternFill patternType="solid">
        <fgColor rgb="FF366092"/>
        <bgColor rgb="FF366092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</fills>
  <borders count="8">
    <border/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1" numFmtId="0" xfId="0" applyFont="1"/>
    <xf borderId="1" fillId="2" fontId="2" numFmtId="0" xfId="0" applyAlignment="1" applyBorder="1" applyFill="1" applyFont="1">
      <alignment shrinkToFit="0" vertical="bottom" wrapText="0"/>
    </xf>
    <xf borderId="2" fillId="2" fontId="1" numFmtId="0" xfId="0" applyAlignment="1" applyBorder="1" applyFont="1">
      <alignment shrinkToFit="0" vertical="bottom" wrapText="0"/>
    </xf>
    <xf borderId="0" fillId="0" fontId="1" numFmtId="164" xfId="0" applyAlignment="1" applyFont="1" applyNumberFormat="1">
      <alignment shrinkToFit="0" vertical="bottom" wrapText="0"/>
    </xf>
    <xf borderId="0" fillId="0" fontId="1" numFmtId="10" xfId="0" applyAlignment="1" applyFont="1" applyNumberFormat="1">
      <alignment shrinkToFit="0" vertical="bottom" wrapText="0"/>
    </xf>
    <xf borderId="3" fillId="0" fontId="3" numFmtId="0" xfId="0" applyAlignment="1" applyBorder="1" applyFont="1">
      <alignment shrinkToFit="0" vertical="bottom" wrapText="0"/>
    </xf>
    <xf borderId="4" fillId="0" fontId="1" numFmtId="0" xfId="0" applyAlignment="1" applyBorder="1" applyFont="1">
      <alignment shrinkToFit="0" vertical="bottom" wrapText="0"/>
    </xf>
    <xf borderId="5" fillId="2" fontId="2" numFmtId="0" xfId="0" applyAlignment="1" applyBorder="1" applyFont="1">
      <alignment shrinkToFit="0" vertical="bottom" wrapText="0"/>
    </xf>
    <xf borderId="5" fillId="2" fontId="1" numFmtId="10" xfId="0" applyAlignment="1" applyBorder="1" applyFont="1" applyNumberFormat="1">
      <alignment shrinkToFit="0" vertical="bottom" wrapText="0"/>
    </xf>
    <xf borderId="0" fillId="0" fontId="4" numFmtId="164" xfId="0" applyAlignment="1" applyFont="1" applyNumberFormat="1">
      <alignment shrinkToFit="0" vertical="bottom" wrapText="0"/>
    </xf>
    <xf borderId="0" fillId="0" fontId="4" numFmtId="3" xfId="0" applyAlignment="1" applyFont="1" applyNumberForma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164" xfId="0" applyAlignment="1" applyFont="1" applyNumberFormat="1">
      <alignment shrinkToFit="0" vertical="bottom" wrapText="0"/>
    </xf>
    <xf borderId="3" fillId="0" fontId="1" numFmtId="0" xfId="0" applyAlignment="1" applyBorder="1" applyFont="1">
      <alignment shrinkToFit="0" vertical="bottom" wrapText="0"/>
    </xf>
    <xf borderId="5" fillId="2" fontId="1" numFmtId="165" xfId="0" applyAlignment="1" applyBorder="1" applyFont="1" applyNumberFormat="1">
      <alignment shrinkToFit="0" vertical="bottom" wrapText="0"/>
    </xf>
    <xf borderId="5" fillId="2" fontId="1" numFmtId="0" xfId="0" applyAlignment="1" applyBorder="1" applyFont="1">
      <alignment shrinkToFit="0" vertical="bottom" wrapText="0"/>
    </xf>
    <xf borderId="0" fillId="0" fontId="4" numFmtId="164" xfId="0" applyAlignment="1" applyFont="1" applyNumberFormat="1">
      <alignment horizontal="right" shrinkToFit="0" vertical="bottom" wrapText="0"/>
    </xf>
    <xf borderId="5" fillId="3" fontId="3" numFmtId="0" xfId="0" applyAlignment="1" applyBorder="1" applyFill="1" applyFont="1">
      <alignment shrinkToFit="0" vertical="bottom" wrapText="0"/>
    </xf>
    <xf borderId="5" fillId="3" fontId="3" numFmtId="164" xfId="0" applyAlignment="1" applyBorder="1" applyFont="1" applyNumberFormat="1">
      <alignment shrinkToFit="0" vertical="bottom" wrapText="0"/>
    </xf>
    <xf borderId="0" fillId="0" fontId="5" numFmtId="0" xfId="0" applyAlignment="1" applyFont="1">
      <alignment shrinkToFit="0" vertical="bottom" wrapText="1"/>
    </xf>
    <xf borderId="0" fillId="0" fontId="4" numFmtId="10" xfId="0" applyAlignment="1" applyFont="1" applyNumberFormat="1">
      <alignment shrinkToFit="0" vertical="bottom" wrapText="0"/>
    </xf>
    <xf borderId="0" fillId="0" fontId="1" numFmtId="2" xfId="0" applyAlignment="1" applyFont="1" applyNumberFormat="1">
      <alignment shrinkToFit="0" vertical="bottom" wrapText="0"/>
    </xf>
    <xf borderId="0" fillId="0" fontId="1" numFmtId="1" xfId="0" applyAlignment="1" applyFont="1" applyNumberFormat="1">
      <alignment shrinkToFit="0" vertical="bottom" wrapText="0"/>
    </xf>
    <xf borderId="2" fillId="2" fontId="2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readingOrder="0" shrinkToFit="0" vertical="bottom" wrapText="0"/>
    </xf>
    <xf borderId="0" fillId="0" fontId="6" numFmtId="164" xfId="0" applyAlignment="1" applyFont="1" applyNumberFormat="1">
      <alignment shrinkToFit="0" vertical="bottom" wrapText="0"/>
    </xf>
    <xf borderId="0" fillId="4" fontId="7" numFmtId="0" xfId="0" applyAlignment="1" applyFill="1" applyFont="1">
      <alignment readingOrder="0"/>
    </xf>
    <xf borderId="2" fillId="2" fontId="8" numFmtId="0" xfId="0" applyAlignment="1" applyBorder="1" applyFont="1">
      <alignment shrinkToFit="0" vertical="bottom" wrapText="0"/>
    </xf>
    <xf borderId="0" fillId="0" fontId="9" numFmtId="0" xfId="0" applyAlignment="1" applyFont="1">
      <alignment shrinkToFit="0" vertical="bottom" wrapText="0"/>
    </xf>
    <xf borderId="0" fillId="0" fontId="10" numFmtId="164" xfId="0" applyAlignment="1" applyFont="1" applyNumberFormat="1">
      <alignment shrinkToFit="0" vertical="bottom" wrapText="0"/>
    </xf>
    <xf borderId="0" fillId="0" fontId="11" numFmtId="0" xfId="0" applyAlignment="1" applyFont="1">
      <alignment shrinkToFit="0" vertical="bottom" wrapText="0"/>
    </xf>
    <xf borderId="6" fillId="2" fontId="2" numFmtId="0" xfId="0" applyAlignment="1" applyBorder="1" applyFont="1">
      <alignment shrinkToFit="0" vertical="bottom" wrapText="0"/>
    </xf>
    <xf borderId="7" fillId="2" fontId="2" numFmtId="0" xfId="0" applyAlignment="1" applyBorder="1" applyFont="1">
      <alignment shrinkToFit="0" vertical="bottom" wrapText="0"/>
    </xf>
    <xf borderId="0" fillId="0" fontId="1" numFmtId="166" xfId="0" applyAlignment="1" applyFont="1" applyNumberFormat="1">
      <alignment shrinkToFit="0" vertical="bottom" wrapText="0"/>
    </xf>
    <xf borderId="0" fillId="0" fontId="1" numFmtId="10" xfId="0" applyAlignment="1" applyFont="1" applyNumberFormat="1">
      <alignment readingOrder="0" shrinkToFit="0" vertical="bottom" wrapText="0"/>
    </xf>
    <xf borderId="0" fillId="0" fontId="1" numFmtId="167" xfId="0" applyAlignment="1" applyFont="1" applyNumberForma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35.44"/>
    <col customWidth="1" min="2" max="2" width="15.0"/>
    <col customWidth="1" min="3" max="6" width="11.22"/>
  </cols>
  <sheetData>
    <row r="1" ht="15.0" customHeight="1">
      <c r="A1" s="1" t="s">
        <v>0</v>
      </c>
      <c r="B1" s="1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5.0" customHeight="1">
      <c r="A2" s="1" t="s">
        <v>1</v>
      </c>
      <c r="B2" s="1" t="s">
        <v>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0" customHeight="1">
      <c r="A3" s="1" t="s">
        <v>3</v>
      </c>
      <c r="B3" s="1" t="s">
        <v>4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5.0" customHeight="1">
      <c r="A4" s="1"/>
      <c r="B4" s="1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5.0" customHeight="1">
      <c r="A5" s="3" t="s">
        <v>5</v>
      </c>
      <c r="B5" s="4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5.0" customHeight="1">
      <c r="A6" s="1" t="s">
        <v>6</v>
      </c>
      <c r="B6" s="1">
        <f>'Model Inputs'!B5</f>
        <v>32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5.0" customHeight="1">
      <c r="A7" s="1" t="s">
        <v>7</v>
      </c>
      <c r="B7" s="5">
        <f>'Model Inputs'!B4</f>
        <v>3425000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5.0" customHeight="1">
      <c r="A8" s="1" t="s">
        <v>8</v>
      </c>
      <c r="B8" s="5">
        <f>B7/B6</f>
        <v>107031.25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5.0" customHeight="1">
      <c r="A9" s="1" t="s">
        <v>9</v>
      </c>
      <c r="B9" s="5">
        <f>'Model Inputs'!B6</f>
        <v>4031000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5.0" customHeight="1">
      <c r="A10" s="1" t="s">
        <v>10</v>
      </c>
      <c r="B10" s="5">
        <f>'Capital Stack'!B6+'Capital Stack'!B7</f>
        <v>1015250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5.0" customHeight="1">
      <c r="A11" s="1" t="s">
        <v>11</v>
      </c>
      <c r="B11" s="5">
        <f>'Model Inputs'!B7</f>
        <v>3015750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5.0" customHeight="1">
      <c r="A12" s="1" t="s">
        <v>12</v>
      </c>
      <c r="B12" s="6">
        <f>IF(B9&gt;0,B11/B9,0)</f>
        <v>0.7481394195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5.0" customHeight="1">
      <c r="A13" s="1"/>
      <c r="B13" s="1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5.0" customHeight="1">
      <c r="A14" s="7" t="s">
        <v>13</v>
      </c>
      <c r="B14" s="8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5.0" customHeight="1">
      <c r="A15" s="1"/>
      <c r="B15" s="6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5.0" customHeight="1">
      <c r="A16" s="9" t="s">
        <v>14</v>
      </c>
      <c r="B16" s="10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5.0" customHeight="1">
      <c r="A17" s="1" t="s">
        <v>15</v>
      </c>
      <c r="B17" s="11">
        <v>3425000.0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5.0" customHeight="1">
      <c r="A18" s="1" t="s">
        <v>16</v>
      </c>
      <c r="B18" s="12">
        <v>32.0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5.0" customHeight="1">
      <c r="A19" s="1" t="s">
        <v>17</v>
      </c>
      <c r="B19" s="5">
        <f>B17/B18</f>
        <v>107031.25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5.0" customHeight="1">
      <c r="A20" s="13" t="s">
        <v>18</v>
      </c>
      <c r="B20" s="14">
        <f>B17</f>
        <v>3425000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0" customHeight="1">
      <c r="A21" s="15"/>
      <c r="B21" s="8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9" t="s">
        <v>19</v>
      </c>
      <c r="B22" s="16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1" t="s">
        <v>20</v>
      </c>
      <c r="B23" s="11">
        <v>15000.0</v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1" t="s">
        <v>21</v>
      </c>
      <c r="B24" s="11">
        <v>10000.0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1" t="s">
        <v>22</v>
      </c>
      <c r="B25" s="11">
        <v>15000.0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1" t="s">
        <v>23</v>
      </c>
      <c r="B26" s="11">
        <v>20000.0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1" t="s">
        <v>24</v>
      </c>
      <c r="B27" s="11">
        <v>5000.0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13" t="s">
        <v>25</v>
      </c>
      <c r="B28" s="14">
        <f>SUM(B23:B27)</f>
        <v>65000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1"/>
      <c r="B29" s="1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9" t="s">
        <v>26</v>
      </c>
      <c r="B30" s="17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1" t="s">
        <v>27</v>
      </c>
      <c r="B31" s="11">
        <v>300000.0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1" t="s">
        <v>28</v>
      </c>
      <c r="B32" s="18" t="s">
        <v>29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1" t="s">
        <v>30</v>
      </c>
      <c r="B33" s="11">
        <v>120000.0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13" t="s">
        <v>31</v>
      </c>
      <c r="B34" s="14">
        <f>SUM(B31:B33)</f>
        <v>420000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1"/>
      <c r="B35" s="1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9" t="s">
        <v>32</v>
      </c>
      <c r="B36" s="17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1" t="s">
        <v>33</v>
      </c>
      <c r="B37" s="11">
        <v>5000.0</v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1" t="s">
        <v>34</v>
      </c>
      <c r="B38" s="11">
        <v>100000.0</v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1" t="s">
        <v>35</v>
      </c>
      <c r="B39" s="18" t="s">
        <v>29</v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1" t="s">
        <v>36</v>
      </c>
      <c r="B40" s="11">
        <v>16000.0</v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13" t="s">
        <v>37</v>
      </c>
      <c r="B41" s="14">
        <f>SUM(B37:B40)</f>
        <v>121000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1"/>
      <c r="B42" s="1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19" t="s">
        <v>38</v>
      </c>
      <c r="B43" s="20">
        <f>B20+B28+B34+B41</f>
        <v>4031000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1"/>
      <c r="B44" s="1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30.0" customHeight="1">
      <c r="A45" s="21" t="s">
        <v>39</v>
      </c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1"/>
      <c r="B46" s="1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1"/>
      <c r="B47" s="1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13" t="s">
        <v>40</v>
      </c>
      <c r="B48" s="1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1" t="s">
        <v>41</v>
      </c>
      <c r="B49" s="6">
        <f t="array" ref="B49">AVERAGE('Cash Flow'!F4:INDEX('Cash Flow'!F:F,3+'Model Inputs'!B18))</f>
        <v>0.03706712021</v>
      </c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1" t="s">
        <v>42</v>
      </c>
      <c r="B50" s="22">
        <f t="array" ref="B50">IRR('Cash Flow'!H3:INDEX('Cash Flow'!H:H,3+'Model Inputs'!B18))</f>
        <v>0.2770470556</v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1" t="s">
        <v>43</v>
      </c>
      <c r="B51" s="23">
        <f t="array" ref="B51">IF(ABS('Cash Flow'!H3)&gt;0, SUM('Cash Flow'!H4:INDEX('Cash Flow'!H:H,3+'Model Inputs'!B18))/ABS('Cash Flow'!H3), 0)</f>
        <v>2.085004241</v>
      </c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1" t="s">
        <v>44</v>
      </c>
      <c r="B52" s="23">
        <f>IF('Cash Flow'!C4&gt;0, 'Cash Flow'!B4/'Cash Flow'!C4, 0)</f>
        <v>1.004914357</v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1" t="s">
        <v>45</v>
      </c>
      <c r="B53" s="23">
        <f t="array" ref="B53">AVERAGE(IFERROR('Cash Flow'!B4:INDEX('Cash Flow'!B:B,3+'Model Inputs'!B18)/'Cash Flow'!C4:INDEX('Cash Flow'!C:C,3+'Model Inputs'!B18),0))</f>
        <v>1.334111855</v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1"/>
      <c r="B54" s="1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13" t="s">
        <v>46</v>
      </c>
      <c r="B55" s="1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1" t="s">
        <v>47</v>
      </c>
      <c r="B56" s="23">
        <f>IF('Cash Flow'!C4&gt;0, 'Cash Flow'!B4/'Cash Flow'!C4, 0)</f>
        <v>1.004914357</v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1" t="s">
        <v>48</v>
      </c>
      <c r="B57" s="23">
        <f t="array" ref="B57">IF(INDEX('Model Inputs'!B41:B45,2)&gt;0, IF('Model Inputs'!B48&gt;0,'Model Inputs'!B48, 'Model Inputs'!B16*(1+'Model Inputs'!B17)*(1-('Model Inputs'!B21-('Model Inputs'!B21-'Model Inputs'!B22)*MIN(1,'Model Inputs'!B23)/MAX(1,'Model Inputs'!B23)))) / INDEX('Model Inputs'!B41:B45,2), 0)</f>
        <v>1.320873164</v>
      </c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1" t="s">
        <v>49</v>
      </c>
      <c r="B58" s="6">
        <f>IF('Model Inputs'!B7&gt;0, 'Cash Flow'!B4/'Model Inputs'!B7, 0)</f>
        <v>0.07034400501</v>
      </c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1" t="s">
        <v>50</v>
      </c>
      <c r="B59" s="6">
        <f>IF('Model Inputs'!B7&gt;0, IF('Model Inputs'!B48&gt;0,'Model Inputs'!B48, 'Model Inputs'!B16*(1+'Model Inputs'!B17)*(1-('Model Inputs'!B21-('Model Inputs'!B21-'Model Inputs'!B22)*MIN(1,'Model Inputs'!B23)/MAX(1,'Model Inputs'!B23)))) / 'Model Inputs'!B7, 0)</f>
        <v>0.09246112151</v>
      </c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1" t="s">
        <v>51</v>
      </c>
      <c r="B60" s="24">
        <f>IF('Model Inputs'!B7&gt;0, IF(('Cash Flow'!B4/12/1.2)&gt;=ABS(PMT('Model Inputs'!B8/12,'Model Inputs'!B10*12,'Model Inputs'!B7)), 0, MIN(24, ROUNDUP(12*(ABS(PMT('Model Inputs'!B8/12,'Model Inputs'!B10*12,'Model Inputs'!B7)) - ('Cash Flow'!B4/12/1.2)) / (ABS(PMT('Model Inputs'!B8/12,'Model Inputs'!B10*12,'Model Inputs'!B7)) - ('Model Inputs'!B7*'Model Inputs'!B8/12)), 0))), 0)</f>
        <v>24</v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1" t="s">
        <v>52</v>
      </c>
      <c r="B61" s="5">
        <f>MAX(0, B60 * MAX(0, ('Model Inputs'!B7*'Model Inputs'!B8/12) - ('Cash Flow'!B4/12/1.2)))</f>
        <v>68638.4448</v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1"/>
      <c r="B62" s="1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1"/>
      <c r="B63" s="1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1"/>
      <c r="B64" s="1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1"/>
      <c r="B65" s="1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1"/>
      <c r="B66" s="1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1"/>
      <c r="B67" s="1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1"/>
      <c r="B68" s="1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1"/>
      <c r="B69" s="1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1"/>
      <c r="B70" s="1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1"/>
      <c r="B71" s="1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1"/>
      <c r="B72" s="1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1"/>
      <c r="B73" s="1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1"/>
      <c r="B74" s="1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1"/>
      <c r="B75" s="1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1"/>
      <c r="B76" s="1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1"/>
      <c r="B77" s="1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1"/>
      <c r="B78" s="1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1"/>
      <c r="B79" s="1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1"/>
      <c r="B80" s="1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1"/>
      <c r="B81" s="1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1"/>
      <c r="B82" s="1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1"/>
      <c r="B83" s="1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1"/>
      <c r="B84" s="1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1"/>
      <c r="B85" s="1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1"/>
      <c r="B86" s="1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1"/>
      <c r="B87" s="1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1"/>
      <c r="B88" s="1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1"/>
      <c r="B89" s="1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1"/>
      <c r="B90" s="1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1"/>
      <c r="B91" s="1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1"/>
      <c r="B92" s="1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1"/>
      <c r="B93" s="1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1"/>
      <c r="B94" s="1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1"/>
      <c r="B95" s="1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1"/>
      <c r="B96" s="1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1"/>
      <c r="B97" s="1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1"/>
      <c r="B98" s="1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1"/>
      <c r="B99" s="1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1"/>
      <c r="B100" s="1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1"/>
      <c r="B101" s="1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1"/>
      <c r="B102" s="1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1"/>
      <c r="B103" s="1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1"/>
      <c r="B104" s="1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1"/>
      <c r="B105" s="1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1"/>
      <c r="B106" s="1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1"/>
      <c r="B107" s="1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1"/>
      <c r="B108" s="1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1"/>
      <c r="B109" s="1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1"/>
      <c r="B110" s="1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1"/>
      <c r="B111" s="1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1"/>
      <c r="B112" s="1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1"/>
      <c r="B113" s="1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1"/>
      <c r="B114" s="1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1"/>
      <c r="B115" s="1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1"/>
      <c r="B116" s="1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1"/>
      <c r="B117" s="1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1"/>
      <c r="B118" s="1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1"/>
      <c r="B119" s="1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1"/>
      <c r="B120" s="1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1"/>
      <c r="B121" s="1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1"/>
      <c r="B122" s="1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1"/>
      <c r="B123" s="1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1"/>
      <c r="B124" s="1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1"/>
      <c r="B125" s="1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1"/>
      <c r="B126" s="1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1"/>
      <c r="B127" s="1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1"/>
      <c r="B128" s="1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1"/>
      <c r="B129" s="1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1"/>
      <c r="B130" s="1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1"/>
      <c r="B131" s="1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1"/>
      <c r="B132" s="1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1"/>
      <c r="B133" s="1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1"/>
      <c r="B134" s="1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1"/>
      <c r="B135" s="1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1"/>
      <c r="B136" s="1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1"/>
      <c r="B137" s="1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1"/>
      <c r="B138" s="1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1"/>
      <c r="B139" s="1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1"/>
      <c r="B140" s="1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1"/>
      <c r="B141" s="1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1"/>
      <c r="B142" s="1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1"/>
      <c r="B143" s="1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1"/>
      <c r="B144" s="1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1"/>
      <c r="B145" s="1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1"/>
      <c r="B146" s="1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1"/>
      <c r="B147" s="1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1"/>
      <c r="B148" s="1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1"/>
      <c r="B149" s="1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1"/>
      <c r="B150" s="1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1"/>
      <c r="B151" s="1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1"/>
      <c r="B152" s="1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1"/>
      <c r="B153" s="1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1"/>
      <c r="B154" s="1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1"/>
      <c r="B155" s="1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1"/>
      <c r="B156" s="1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1"/>
      <c r="B157" s="1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1"/>
      <c r="B158" s="1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1"/>
      <c r="B159" s="1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1"/>
      <c r="B160" s="1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1"/>
      <c r="B161" s="1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1"/>
      <c r="B162" s="1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1"/>
      <c r="B163" s="1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1"/>
      <c r="B164" s="1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1"/>
      <c r="B165" s="1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1"/>
      <c r="B166" s="1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1"/>
      <c r="B167" s="1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1"/>
      <c r="B168" s="1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1"/>
      <c r="B169" s="1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1"/>
      <c r="B170" s="1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1"/>
      <c r="B171" s="1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1"/>
      <c r="B172" s="1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1"/>
      <c r="B173" s="1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1"/>
      <c r="B174" s="1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1"/>
      <c r="B175" s="1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1"/>
      <c r="B176" s="1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1"/>
      <c r="B177" s="1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1"/>
      <c r="B178" s="1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1"/>
      <c r="B179" s="1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1"/>
      <c r="B180" s="1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1"/>
      <c r="B181" s="1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1"/>
      <c r="B182" s="1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1"/>
      <c r="B183" s="1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1"/>
      <c r="B184" s="1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1"/>
      <c r="B185" s="1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1"/>
      <c r="B186" s="1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1"/>
      <c r="B187" s="1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1"/>
      <c r="B188" s="1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1"/>
      <c r="B189" s="1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1"/>
      <c r="B190" s="1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1"/>
      <c r="B191" s="1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1"/>
      <c r="B192" s="1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1"/>
      <c r="B193" s="1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1"/>
      <c r="B194" s="1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1"/>
      <c r="B195" s="1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1"/>
      <c r="B196" s="1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1"/>
      <c r="B197" s="1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1"/>
      <c r="B198" s="1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1"/>
      <c r="B199" s="1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1"/>
      <c r="B200" s="1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1"/>
      <c r="B201" s="1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1"/>
      <c r="B202" s="1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1"/>
      <c r="B203" s="1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1"/>
      <c r="B204" s="1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1"/>
      <c r="B205" s="1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1"/>
      <c r="B206" s="1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1"/>
      <c r="B207" s="1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1"/>
      <c r="B208" s="1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1"/>
      <c r="B209" s="1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1"/>
      <c r="B210" s="1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1"/>
      <c r="B211" s="1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1"/>
      <c r="B212" s="1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1"/>
      <c r="B213" s="1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1"/>
      <c r="B214" s="1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1"/>
      <c r="B215" s="1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1"/>
      <c r="B216" s="1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1"/>
      <c r="B217" s="1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1"/>
      <c r="B218" s="1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1"/>
      <c r="B219" s="1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1"/>
      <c r="B220" s="1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1"/>
      <c r="B221" s="1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1"/>
      <c r="B222" s="1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1"/>
      <c r="B223" s="1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1"/>
      <c r="B224" s="1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1"/>
      <c r="B225" s="1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1"/>
      <c r="B226" s="1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1"/>
      <c r="B227" s="1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1"/>
      <c r="B228" s="1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1"/>
      <c r="B229" s="1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1"/>
      <c r="B230" s="1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1"/>
      <c r="B231" s="1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1"/>
      <c r="B232" s="1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1"/>
      <c r="B233" s="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1"/>
      <c r="B234" s="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1"/>
      <c r="B235" s="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1"/>
      <c r="B236" s="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1"/>
      <c r="B237" s="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1"/>
      <c r="B238" s="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1"/>
      <c r="B239" s="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1"/>
      <c r="B240" s="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1"/>
      <c r="B241" s="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1"/>
      <c r="B242" s="1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1"/>
      <c r="B243" s="1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1"/>
      <c r="B244" s="1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1"/>
      <c r="B245" s="1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1"/>
      <c r="B246" s="1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1"/>
      <c r="B247" s="1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1"/>
      <c r="B248" s="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1"/>
      <c r="B249" s="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1"/>
      <c r="B250" s="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1"/>
      <c r="B251" s="1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1"/>
      <c r="B252" s="1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1"/>
      <c r="B253" s="1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1"/>
      <c r="B254" s="1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1"/>
      <c r="B255" s="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1"/>
      <c r="B256" s="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1"/>
      <c r="B257" s="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1"/>
      <c r="B258" s="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1"/>
      <c r="B259" s="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1"/>
      <c r="B260" s="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1"/>
      <c r="B261" s="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1"/>
      <c r="B262" s="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1"/>
      <c r="B263" s="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1"/>
      <c r="B264" s="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1"/>
      <c r="B265" s="1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1"/>
      <c r="B266" s="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1"/>
      <c r="B267" s="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1"/>
      <c r="B268" s="1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1"/>
      <c r="B269" s="1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1"/>
      <c r="B270" s="1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1"/>
      <c r="B271" s="1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1"/>
      <c r="B272" s="1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1"/>
      <c r="B273" s="1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1"/>
      <c r="B274" s="1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1"/>
      <c r="B275" s="1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1"/>
      <c r="B276" s="1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1"/>
      <c r="B277" s="1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1"/>
      <c r="B278" s="1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1"/>
      <c r="B279" s="1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1"/>
      <c r="B280" s="1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1"/>
      <c r="B281" s="1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1"/>
      <c r="B282" s="1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1"/>
      <c r="B283" s="1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1"/>
      <c r="B284" s="1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1"/>
      <c r="B285" s="1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1"/>
      <c r="B286" s="1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1"/>
      <c r="B287" s="1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1"/>
      <c r="B288" s="1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1"/>
      <c r="B289" s="1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1"/>
      <c r="B290" s="1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1"/>
      <c r="B291" s="1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1"/>
      <c r="B292" s="1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1"/>
      <c r="B293" s="1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1"/>
      <c r="B294" s="1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1"/>
      <c r="B295" s="1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1"/>
      <c r="B296" s="1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1"/>
      <c r="B297" s="1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1"/>
      <c r="B298" s="1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1"/>
      <c r="B299" s="1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1"/>
      <c r="B300" s="1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1"/>
      <c r="B301" s="1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1"/>
      <c r="B302" s="1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1"/>
      <c r="B303" s="1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1"/>
      <c r="B304" s="1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1"/>
      <c r="B305" s="1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1"/>
      <c r="B306" s="1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1"/>
      <c r="B307" s="1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1"/>
      <c r="B308" s="1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1"/>
      <c r="B309" s="1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1"/>
      <c r="B310" s="1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1"/>
      <c r="B311" s="1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1"/>
      <c r="B312" s="1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1"/>
      <c r="B313" s="1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1"/>
      <c r="B314" s="1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1"/>
      <c r="B315" s="1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1"/>
      <c r="B316" s="1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1"/>
      <c r="B317" s="1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1"/>
      <c r="B318" s="1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1"/>
      <c r="B319" s="1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1"/>
      <c r="B320" s="1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1"/>
      <c r="B321" s="1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1"/>
      <c r="B322" s="1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1"/>
      <c r="B323" s="1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1"/>
      <c r="B324" s="1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1"/>
      <c r="B325" s="1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1"/>
      <c r="B326" s="1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1"/>
      <c r="B327" s="1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1"/>
      <c r="B328" s="1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1"/>
      <c r="B329" s="1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1"/>
      <c r="B330" s="1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1"/>
      <c r="B331" s="1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1"/>
      <c r="B332" s="1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1"/>
      <c r="B333" s="1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1"/>
      <c r="B334" s="1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1"/>
      <c r="B335" s="1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1"/>
      <c r="B336" s="1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1"/>
      <c r="B337" s="1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1"/>
      <c r="B338" s="1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1"/>
      <c r="B339" s="1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1"/>
      <c r="B340" s="1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1"/>
      <c r="B341" s="1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1"/>
      <c r="B342" s="1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1"/>
      <c r="B343" s="1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1"/>
      <c r="B344" s="1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1"/>
      <c r="B345" s="1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1"/>
      <c r="B346" s="1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1"/>
      <c r="B347" s="1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1"/>
      <c r="B348" s="1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1"/>
      <c r="B349" s="1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1"/>
      <c r="B350" s="1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1"/>
      <c r="B351" s="1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1"/>
      <c r="B352" s="1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1"/>
      <c r="B353" s="1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1"/>
      <c r="B354" s="1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1"/>
      <c r="B355" s="1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1"/>
      <c r="B356" s="1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1"/>
      <c r="B357" s="1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1"/>
      <c r="B358" s="1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1"/>
      <c r="B359" s="1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1"/>
      <c r="B360" s="1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1"/>
      <c r="B361" s="1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1"/>
      <c r="B362" s="1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1"/>
      <c r="B363" s="1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1"/>
      <c r="B364" s="1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1"/>
      <c r="B365" s="1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1"/>
      <c r="B366" s="1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1"/>
      <c r="B367" s="1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1"/>
      <c r="B368" s="1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1"/>
      <c r="B369" s="1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1"/>
      <c r="B370" s="1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1"/>
      <c r="B371" s="1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1"/>
      <c r="B372" s="1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1"/>
      <c r="B373" s="1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1"/>
      <c r="B374" s="1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1"/>
      <c r="B375" s="1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1"/>
      <c r="B376" s="1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1"/>
      <c r="B377" s="1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1"/>
      <c r="B378" s="1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1"/>
      <c r="B379" s="1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1"/>
      <c r="B380" s="1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1"/>
      <c r="B381" s="1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1"/>
      <c r="B382" s="1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1"/>
      <c r="B383" s="1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1"/>
      <c r="B384" s="1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1"/>
      <c r="B385" s="1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1"/>
      <c r="B386" s="1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1"/>
      <c r="B387" s="1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1"/>
      <c r="B388" s="1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1"/>
      <c r="B389" s="1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1"/>
      <c r="B390" s="1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1"/>
      <c r="B391" s="1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1"/>
      <c r="B392" s="1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1"/>
      <c r="B393" s="1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1"/>
      <c r="B394" s="1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1"/>
      <c r="B395" s="1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1"/>
      <c r="B396" s="1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1"/>
      <c r="B397" s="1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1"/>
      <c r="B398" s="1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1"/>
      <c r="B399" s="1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1"/>
      <c r="B400" s="1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1"/>
      <c r="B401" s="1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1"/>
      <c r="B402" s="1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1"/>
      <c r="B403" s="1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1"/>
      <c r="B404" s="1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1"/>
      <c r="B405" s="1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1"/>
      <c r="B406" s="1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1"/>
      <c r="B407" s="1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1"/>
      <c r="B408" s="1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1"/>
      <c r="B409" s="1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1"/>
      <c r="B410" s="1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1"/>
      <c r="B411" s="1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1"/>
      <c r="B412" s="1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1"/>
      <c r="B413" s="1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1"/>
      <c r="B414" s="1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1"/>
      <c r="B415" s="1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1"/>
      <c r="B416" s="1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1"/>
      <c r="B417" s="1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1"/>
      <c r="B418" s="1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1"/>
      <c r="B419" s="1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1"/>
      <c r="B420" s="1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1"/>
      <c r="B421" s="1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1"/>
      <c r="B422" s="1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1"/>
      <c r="B423" s="1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1"/>
      <c r="B424" s="1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1"/>
      <c r="B425" s="1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1"/>
      <c r="B426" s="1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1"/>
      <c r="B427" s="1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1"/>
      <c r="B428" s="1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1"/>
      <c r="B429" s="1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1"/>
      <c r="B430" s="1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1"/>
      <c r="B431" s="1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1"/>
      <c r="B432" s="1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1"/>
      <c r="B433" s="1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1"/>
      <c r="B434" s="1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1"/>
      <c r="B435" s="1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1"/>
      <c r="B436" s="1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1"/>
      <c r="B437" s="1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1"/>
      <c r="B438" s="1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1"/>
      <c r="B439" s="1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1"/>
      <c r="B440" s="1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1"/>
      <c r="B441" s="1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1"/>
      <c r="B442" s="1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1"/>
      <c r="B443" s="1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1"/>
      <c r="B444" s="1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1"/>
      <c r="B445" s="1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1"/>
      <c r="B446" s="1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1"/>
      <c r="B447" s="1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1"/>
      <c r="B448" s="1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1"/>
      <c r="B449" s="1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1"/>
      <c r="B450" s="1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1"/>
      <c r="B451" s="1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1"/>
      <c r="B452" s="1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1"/>
      <c r="B453" s="1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1"/>
      <c r="B454" s="1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1"/>
      <c r="B455" s="1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1"/>
      <c r="B456" s="1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1"/>
      <c r="B457" s="1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1"/>
      <c r="B458" s="1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1"/>
      <c r="B459" s="1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1"/>
      <c r="B460" s="1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1"/>
      <c r="B461" s="1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1"/>
      <c r="B462" s="1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1"/>
      <c r="B463" s="1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1"/>
      <c r="B464" s="1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1"/>
      <c r="B465" s="1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1"/>
      <c r="B466" s="1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1"/>
      <c r="B467" s="1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1"/>
      <c r="B468" s="1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1"/>
      <c r="B469" s="1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1"/>
      <c r="B470" s="1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1"/>
      <c r="B471" s="1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1"/>
      <c r="B472" s="1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1"/>
      <c r="B473" s="1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1"/>
      <c r="B474" s="1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1"/>
      <c r="B475" s="1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1"/>
      <c r="B476" s="1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1"/>
      <c r="B477" s="1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1"/>
      <c r="B478" s="1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1"/>
      <c r="B479" s="1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1"/>
      <c r="B480" s="1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1"/>
      <c r="B481" s="1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1"/>
      <c r="B482" s="1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1"/>
      <c r="B483" s="1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1"/>
      <c r="B484" s="1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1"/>
      <c r="B485" s="1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1"/>
      <c r="B486" s="1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1"/>
      <c r="B487" s="1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1"/>
      <c r="B488" s="1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1"/>
      <c r="B489" s="1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1"/>
      <c r="B490" s="1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1"/>
      <c r="B491" s="1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1"/>
      <c r="B492" s="1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1"/>
      <c r="B493" s="1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1"/>
      <c r="B494" s="1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1"/>
      <c r="B495" s="1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1"/>
      <c r="B496" s="1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1"/>
      <c r="B497" s="1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1"/>
      <c r="B498" s="1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1"/>
      <c r="B499" s="1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1"/>
      <c r="B500" s="1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1"/>
      <c r="B501" s="1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1"/>
      <c r="B502" s="1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1"/>
      <c r="B503" s="1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1"/>
      <c r="B504" s="1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1"/>
      <c r="B505" s="1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1"/>
      <c r="B506" s="1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1"/>
      <c r="B507" s="1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1"/>
      <c r="B508" s="1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1"/>
      <c r="B509" s="1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1"/>
      <c r="B510" s="1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1"/>
      <c r="B511" s="1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1"/>
      <c r="B512" s="1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1"/>
      <c r="B513" s="1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1"/>
      <c r="B514" s="1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1"/>
      <c r="B515" s="1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1"/>
      <c r="B516" s="1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1"/>
      <c r="B517" s="1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1"/>
      <c r="B518" s="1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1"/>
      <c r="B519" s="1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1"/>
      <c r="B520" s="1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1"/>
      <c r="B521" s="1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1"/>
      <c r="B522" s="1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1"/>
      <c r="B523" s="1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1"/>
      <c r="B524" s="1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1"/>
      <c r="B525" s="1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1"/>
      <c r="B526" s="1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1"/>
      <c r="B527" s="1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1"/>
      <c r="B528" s="1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1"/>
      <c r="B529" s="1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1"/>
      <c r="B530" s="1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1"/>
      <c r="B531" s="1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1"/>
      <c r="B532" s="1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1"/>
      <c r="B533" s="1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1"/>
      <c r="B534" s="1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1"/>
      <c r="B535" s="1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1"/>
      <c r="B536" s="1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1"/>
      <c r="B537" s="1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1"/>
      <c r="B538" s="1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1"/>
      <c r="B539" s="1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1"/>
      <c r="B540" s="1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1"/>
      <c r="B541" s="1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1"/>
      <c r="B542" s="1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1"/>
      <c r="B543" s="1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1"/>
      <c r="B544" s="1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1"/>
      <c r="B545" s="1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1"/>
      <c r="B546" s="1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1"/>
      <c r="B547" s="1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1"/>
      <c r="B548" s="1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1"/>
      <c r="B549" s="1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1"/>
      <c r="B550" s="1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1"/>
      <c r="B551" s="1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1"/>
      <c r="B552" s="1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1"/>
      <c r="B553" s="1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1"/>
      <c r="B554" s="1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1"/>
      <c r="B555" s="1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1"/>
      <c r="B556" s="1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1"/>
      <c r="B557" s="1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1"/>
      <c r="B558" s="1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1"/>
      <c r="B559" s="1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1"/>
      <c r="B560" s="1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1"/>
      <c r="B561" s="1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1"/>
      <c r="B562" s="1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1"/>
      <c r="B563" s="1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1"/>
      <c r="B564" s="1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1"/>
      <c r="B565" s="1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1"/>
      <c r="B566" s="1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1"/>
      <c r="B567" s="1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1"/>
      <c r="B568" s="1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1"/>
      <c r="B569" s="1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1"/>
      <c r="B570" s="1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1"/>
      <c r="B571" s="1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1"/>
      <c r="B572" s="1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1"/>
      <c r="B573" s="1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1"/>
      <c r="B574" s="1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1"/>
      <c r="B575" s="1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1"/>
      <c r="B576" s="1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1"/>
      <c r="B577" s="1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1"/>
      <c r="B578" s="1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1"/>
      <c r="B579" s="1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1"/>
      <c r="B580" s="1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1"/>
      <c r="B581" s="1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1"/>
      <c r="B582" s="1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1"/>
      <c r="B583" s="1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1"/>
      <c r="B584" s="1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1"/>
      <c r="B585" s="1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1"/>
      <c r="B586" s="1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1"/>
      <c r="B587" s="1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1"/>
      <c r="B588" s="1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1"/>
      <c r="B589" s="1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1"/>
      <c r="B590" s="1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1"/>
      <c r="B591" s="1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1"/>
      <c r="B592" s="1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1"/>
      <c r="B593" s="1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1"/>
      <c r="B594" s="1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1"/>
      <c r="B595" s="1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1"/>
      <c r="B596" s="1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1"/>
      <c r="B597" s="1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1"/>
      <c r="B598" s="1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1"/>
      <c r="B599" s="1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1"/>
      <c r="B600" s="1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1"/>
      <c r="B601" s="1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1"/>
      <c r="B602" s="1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1"/>
      <c r="B603" s="1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1"/>
      <c r="B604" s="1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1"/>
      <c r="B605" s="1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1"/>
      <c r="B606" s="1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1"/>
      <c r="B607" s="1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1"/>
      <c r="B608" s="1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1"/>
      <c r="B609" s="1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1"/>
      <c r="B610" s="1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1"/>
      <c r="B611" s="1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1"/>
      <c r="B612" s="1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1"/>
      <c r="B613" s="1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1"/>
      <c r="B614" s="1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1"/>
      <c r="B615" s="1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1"/>
      <c r="B616" s="1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1"/>
      <c r="B617" s="1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1"/>
      <c r="B618" s="1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1"/>
      <c r="B619" s="1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1"/>
      <c r="B620" s="1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1"/>
      <c r="B621" s="1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1"/>
      <c r="B622" s="1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1"/>
      <c r="B623" s="1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1"/>
      <c r="B624" s="1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1"/>
      <c r="B625" s="1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1"/>
      <c r="B626" s="1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1"/>
      <c r="B627" s="1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1"/>
      <c r="B628" s="1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1"/>
      <c r="B629" s="1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1"/>
      <c r="B630" s="1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1"/>
      <c r="B631" s="1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1"/>
      <c r="B632" s="1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1"/>
      <c r="B633" s="1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1"/>
      <c r="B634" s="1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1"/>
      <c r="B635" s="1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1"/>
      <c r="B636" s="1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1"/>
      <c r="B637" s="1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1"/>
      <c r="B638" s="1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1"/>
      <c r="B639" s="1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1"/>
      <c r="B640" s="1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1"/>
      <c r="B641" s="1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1"/>
      <c r="B642" s="1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1"/>
      <c r="B643" s="1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1"/>
      <c r="B644" s="1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1"/>
      <c r="B645" s="1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1"/>
      <c r="B646" s="1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1"/>
      <c r="B647" s="1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1"/>
      <c r="B648" s="1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1"/>
      <c r="B649" s="1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1"/>
      <c r="B650" s="1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1"/>
      <c r="B651" s="1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1"/>
      <c r="B652" s="1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1"/>
      <c r="B653" s="1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1"/>
      <c r="B654" s="1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1"/>
      <c r="B655" s="1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1"/>
      <c r="B656" s="1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1"/>
      <c r="B657" s="1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1"/>
      <c r="B658" s="1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1"/>
      <c r="B659" s="1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1"/>
      <c r="B660" s="1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1"/>
      <c r="B661" s="1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1"/>
      <c r="B662" s="1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1"/>
      <c r="B663" s="1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1"/>
      <c r="B664" s="1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1"/>
      <c r="B665" s="1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1"/>
      <c r="B666" s="1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1"/>
      <c r="B667" s="1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1"/>
      <c r="B668" s="1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1"/>
      <c r="B669" s="1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1"/>
      <c r="B670" s="1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1"/>
      <c r="B671" s="1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1"/>
      <c r="B672" s="1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1"/>
      <c r="B673" s="1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1"/>
      <c r="B674" s="1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1"/>
      <c r="B675" s="1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1"/>
      <c r="B676" s="1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1"/>
      <c r="B677" s="1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1"/>
      <c r="B678" s="1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1"/>
      <c r="B679" s="1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1"/>
      <c r="B680" s="1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1"/>
      <c r="B681" s="1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1"/>
      <c r="B682" s="1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1"/>
      <c r="B683" s="1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1"/>
      <c r="B684" s="1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1"/>
      <c r="B685" s="1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1"/>
      <c r="B686" s="1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1"/>
      <c r="B687" s="1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1"/>
      <c r="B688" s="1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1"/>
      <c r="B689" s="1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1"/>
      <c r="B690" s="1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1"/>
      <c r="B691" s="1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1"/>
      <c r="B692" s="1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1"/>
      <c r="B693" s="1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1"/>
      <c r="B694" s="1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1"/>
      <c r="B695" s="1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1"/>
      <c r="B696" s="1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1"/>
      <c r="B697" s="1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1"/>
      <c r="B698" s="1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1"/>
      <c r="B699" s="1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1"/>
      <c r="B700" s="1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1"/>
      <c r="B701" s="1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1"/>
      <c r="B702" s="1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1"/>
      <c r="B703" s="1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1"/>
      <c r="B704" s="1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1"/>
      <c r="B705" s="1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1"/>
      <c r="B706" s="1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1"/>
      <c r="B707" s="1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1"/>
      <c r="B708" s="1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1"/>
      <c r="B709" s="1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1"/>
      <c r="B710" s="1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1"/>
      <c r="B711" s="1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1"/>
      <c r="B712" s="1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1"/>
      <c r="B713" s="1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1"/>
      <c r="B714" s="1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1"/>
      <c r="B715" s="1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1"/>
      <c r="B716" s="1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1"/>
      <c r="B717" s="1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1"/>
      <c r="B718" s="1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1"/>
      <c r="B719" s="1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1"/>
      <c r="B720" s="1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1"/>
      <c r="B721" s="1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1"/>
      <c r="B722" s="1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1"/>
      <c r="B723" s="1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1"/>
      <c r="B724" s="1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1"/>
      <c r="B725" s="1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1"/>
      <c r="B726" s="1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1"/>
      <c r="B727" s="1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1"/>
      <c r="B728" s="1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1"/>
      <c r="B729" s="1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1"/>
      <c r="B730" s="1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1"/>
      <c r="B731" s="1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1"/>
      <c r="B732" s="1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1"/>
      <c r="B733" s="1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1"/>
      <c r="B734" s="1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1"/>
      <c r="B735" s="1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1"/>
      <c r="B736" s="1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1"/>
      <c r="B737" s="1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1"/>
      <c r="B738" s="1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1"/>
      <c r="B739" s="1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1"/>
      <c r="B740" s="1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1"/>
      <c r="B741" s="1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1"/>
      <c r="B742" s="1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1"/>
      <c r="B743" s="1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1"/>
      <c r="B744" s="1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1"/>
      <c r="B745" s="1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1"/>
      <c r="B746" s="1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1"/>
      <c r="B747" s="1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1"/>
      <c r="B748" s="1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1"/>
      <c r="B749" s="1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1"/>
      <c r="B750" s="1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1"/>
      <c r="B751" s="1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1"/>
      <c r="B752" s="1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1"/>
      <c r="B753" s="1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1"/>
      <c r="B754" s="1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1"/>
      <c r="B755" s="1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1"/>
      <c r="B756" s="1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1"/>
      <c r="B757" s="1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1"/>
      <c r="B758" s="1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1"/>
      <c r="B759" s="1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1"/>
      <c r="B760" s="1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1"/>
      <c r="B761" s="1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1"/>
      <c r="B762" s="1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1"/>
      <c r="B763" s="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1"/>
      <c r="B764" s="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1"/>
      <c r="B765" s="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1"/>
      <c r="B766" s="1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1"/>
      <c r="B767" s="1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1"/>
      <c r="B768" s="1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1"/>
      <c r="B769" s="1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1"/>
      <c r="B770" s="1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1"/>
      <c r="B771" s="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1"/>
      <c r="B772" s="1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1"/>
      <c r="B773" s="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1"/>
      <c r="B774" s="1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1"/>
      <c r="B775" s="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1"/>
      <c r="B776" s="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1"/>
      <c r="B777" s="1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1"/>
      <c r="B778" s="1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1"/>
      <c r="B779" s="1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1"/>
      <c r="B780" s="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1"/>
      <c r="B781" s="1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1"/>
      <c r="B782" s="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1"/>
      <c r="B783" s="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1"/>
      <c r="B784" s="1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1"/>
      <c r="B785" s="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1"/>
      <c r="B786" s="1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1"/>
      <c r="B787" s="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1"/>
      <c r="B788" s="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1"/>
      <c r="B789" s="1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1"/>
      <c r="B790" s="1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1"/>
      <c r="B791" s="1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1"/>
      <c r="B792" s="1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1"/>
      <c r="B793" s="1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1"/>
      <c r="B794" s="1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1"/>
      <c r="B795" s="1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1"/>
      <c r="B796" s="1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1"/>
      <c r="B797" s="1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1"/>
      <c r="B798" s="1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1"/>
      <c r="B799" s="1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1"/>
      <c r="B800" s="1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1"/>
      <c r="B801" s="1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1"/>
      <c r="B802" s="1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1"/>
      <c r="B803" s="1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1"/>
      <c r="B804" s="1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1"/>
      <c r="B805" s="1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1"/>
      <c r="B806" s="1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1"/>
      <c r="B807" s="1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1"/>
      <c r="B808" s="1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1"/>
      <c r="B809" s="1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1"/>
      <c r="B810" s="1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1"/>
      <c r="B811" s="1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1"/>
      <c r="B812" s="1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1"/>
      <c r="B813" s="1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1"/>
      <c r="B814" s="1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1"/>
      <c r="B815" s="1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1"/>
      <c r="B816" s="1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1"/>
      <c r="B817" s="1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1"/>
      <c r="B818" s="1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1"/>
      <c r="B819" s="1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1"/>
      <c r="B820" s="1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1"/>
      <c r="B821" s="1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1"/>
      <c r="B822" s="1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1"/>
      <c r="B823" s="1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1"/>
      <c r="B824" s="1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1"/>
      <c r="B825" s="1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1"/>
      <c r="B826" s="1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1"/>
      <c r="B827" s="1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1"/>
      <c r="B828" s="1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1"/>
      <c r="B829" s="1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1"/>
      <c r="B830" s="1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1"/>
      <c r="B831" s="1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1"/>
      <c r="B832" s="1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1"/>
      <c r="B833" s="1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1"/>
      <c r="B834" s="1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1"/>
      <c r="B835" s="1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1"/>
      <c r="B836" s="1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1"/>
      <c r="B837" s="1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1"/>
      <c r="B838" s="1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1"/>
      <c r="B839" s="1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1"/>
      <c r="B840" s="1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1"/>
      <c r="B841" s="1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1"/>
      <c r="B842" s="1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1"/>
      <c r="B843" s="1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1"/>
      <c r="B844" s="1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1"/>
      <c r="B845" s="1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1"/>
      <c r="B846" s="1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1"/>
      <c r="B847" s="1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1"/>
      <c r="B848" s="1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1"/>
      <c r="B849" s="1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1"/>
      <c r="B850" s="1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1"/>
      <c r="B851" s="1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1"/>
      <c r="B852" s="1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1"/>
      <c r="B853" s="1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1"/>
      <c r="B854" s="1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1"/>
      <c r="B855" s="1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1"/>
      <c r="B856" s="1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1"/>
      <c r="B857" s="1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1"/>
      <c r="B858" s="1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1"/>
      <c r="B859" s="1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1"/>
      <c r="B860" s="1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1"/>
      <c r="B861" s="1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1"/>
      <c r="B862" s="1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1"/>
      <c r="B863" s="1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1"/>
      <c r="B864" s="1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1"/>
      <c r="B865" s="1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1"/>
      <c r="B866" s="1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1"/>
      <c r="B867" s="1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1"/>
      <c r="B868" s="1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1"/>
      <c r="B869" s="1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1"/>
      <c r="B870" s="1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1"/>
      <c r="B871" s="1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1"/>
      <c r="B872" s="1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1"/>
      <c r="B873" s="1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1"/>
      <c r="B874" s="1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1"/>
      <c r="B875" s="1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1"/>
      <c r="B876" s="1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1"/>
      <c r="B877" s="1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1"/>
      <c r="B878" s="1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1"/>
      <c r="B879" s="1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1"/>
      <c r="B880" s="1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1"/>
      <c r="B881" s="1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1"/>
      <c r="B882" s="1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1"/>
      <c r="B883" s="1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1"/>
      <c r="B884" s="1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1"/>
      <c r="B885" s="1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1"/>
      <c r="B886" s="1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1"/>
      <c r="B887" s="1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1"/>
      <c r="B888" s="1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1"/>
      <c r="B889" s="1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1"/>
      <c r="B890" s="1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1"/>
      <c r="B891" s="1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1"/>
      <c r="B892" s="1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1"/>
      <c r="B893" s="1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1"/>
      <c r="B894" s="1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1"/>
      <c r="B895" s="1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1"/>
      <c r="B896" s="1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1"/>
      <c r="B897" s="1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1"/>
      <c r="B898" s="1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1"/>
      <c r="B899" s="1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1"/>
      <c r="B900" s="1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1"/>
      <c r="B901" s="1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1"/>
      <c r="B902" s="1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1"/>
      <c r="B903" s="1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1"/>
      <c r="B904" s="1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1"/>
      <c r="B905" s="1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1"/>
      <c r="B906" s="1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1"/>
      <c r="B907" s="1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1"/>
      <c r="B908" s="1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1"/>
      <c r="B909" s="1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1"/>
      <c r="B910" s="1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1"/>
      <c r="B911" s="1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1"/>
      <c r="B912" s="1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1"/>
      <c r="B913" s="1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1"/>
      <c r="B914" s="1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1"/>
      <c r="B915" s="1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1"/>
      <c r="B916" s="1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1"/>
      <c r="B917" s="1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1"/>
      <c r="B918" s="1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1"/>
      <c r="B919" s="1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1"/>
      <c r="B920" s="1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1"/>
      <c r="B921" s="1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1"/>
      <c r="B922" s="1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1"/>
      <c r="B923" s="1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1"/>
      <c r="B924" s="1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1"/>
      <c r="B925" s="1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1"/>
      <c r="B926" s="1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1"/>
      <c r="B927" s="1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1"/>
      <c r="B928" s="1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1"/>
      <c r="B929" s="1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1"/>
      <c r="B930" s="1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1"/>
      <c r="B931" s="1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1"/>
      <c r="B932" s="1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1"/>
      <c r="B933" s="1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1"/>
      <c r="B934" s="1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1"/>
      <c r="B935" s="1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1"/>
      <c r="B936" s="1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1"/>
      <c r="B937" s="1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1"/>
      <c r="B938" s="1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1"/>
      <c r="B939" s="1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1"/>
      <c r="B940" s="1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1"/>
      <c r="B941" s="1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1"/>
      <c r="B942" s="1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1"/>
      <c r="B943" s="1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1"/>
      <c r="B944" s="1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1"/>
      <c r="B945" s="1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1"/>
      <c r="B946" s="1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1"/>
      <c r="B947" s="1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1"/>
      <c r="B948" s="1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1"/>
      <c r="B949" s="1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1"/>
      <c r="B950" s="1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1"/>
      <c r="B951" s="1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1"/>
      <c r="B952" s="1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1"/>
      <c r="B953" s="1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1"/>
      <c r="B954" s="1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1"/>
      <c r="B955" s="1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1"/>
      <c r="B956" s="1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1"/>
      <c r="B957" s="1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1"/>
      <c r="B958" s="1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1"/>
      <c r="B959" s="1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1"/>
      <c r="B960" s="1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1"/>
      <c r="B961" s="1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1"/>
      <c r="B962" s="1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1"/>
      <c r="B963" s="1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1"/>
      <c r="B964" s="1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1"/>
      <c r="B965" s="1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1"/>
      <c r="B966" s="1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1"/>
      <c r="B967" s="1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1"/>
      <c r="B968" s="1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1"/>
      <c r="B969" s="1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1"/>
      <c r="B970" s="1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1"/>
      <c r="B971" s="1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1"/>
      <c r="B972" s="1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1"/>
      <c r="B973" s="1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1"/>
      <c r="B974" s="1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1"/>
      <c r="B975" s="1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1"/>
      <c r="B976" s="1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1"/>
      <c r="B977" s="1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1"/>
      <c r="B978" s="1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1"/>
      <c r="B979" s="1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1"/>
      <c r="B980" s="1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1"/>
      <c r="B981" s="1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1"/>
      <c r="B982" s="1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1"/>
      <c r="B983" s="1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1"/>
      <c r="B984" s="1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1"/>
      <c r="B985" s="1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1"/>
      <c r="B986" s="1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1"/>
      <c r="B987" s="1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1"/>
      <c r="B988" s="1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1"/>
      <c r="B989" s="1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1"/>
      <c r="B990" s="1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1"/>
      <c r="B991" s="1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1"/>
      <c r="B992" s="1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1"/>
      <c r="B993" s="1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1"/>
      <c r="B994" s="1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1"/>
      <c r="B995" s="1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1"/>
      <c r="B996" s="1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1"/>
      <c r="B997" s="1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1"/>
      <c r="B998" s="1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1"/>
      <c r="B999" s="1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1"/>
      <c r="B1000" s="1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">
    <mergeCell ref="A45:B45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34.78"/>
    <col customWidth="1" min="2" max="6" width="11.22"/>
  </cols>
  <sheetData>
    <row r="1" ht="15.0" customHeight="1">
      <c r="A1" s="1" t="s">
        <v>53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5.0" customHeight="1">
      <c r="A2" s="1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0" customHeight="1">
      <c r="A3" s="3" t="s">
        <v>54</v>
      </c>
      <c r="B3" s="25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5.0" customHeight="1">
      <c r="A4" s="1" t="s">
        <v>55</v>
      </c>
      <c r="B4" s="26">
        <v>1205.0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5.0" customHeight="1">
      <c r="A5" s="1" t="s">
        <v>56</v>
      </c>
      <c r="B5" s="6">
        <v>0.95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5.0" customHeight="1">
      <c r="A6" s="1" t="s">
        <v>57</v>
      </c>
      <c r="B6" s="1">
        <v>32.0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5.0" customHeight="1">
      <c r="A7" s="1" t="s">
        <v>58</v>
      </c>
      <c r="B7" s="6">
        <v>0.032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5.0" customHeight="1">
      <c r="A8" s="1" t="s">
        <v>59</v>
      </c>
      <c r="B8" s="1">
        <v>2700.0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5.0" customHeight="1">
      <c r="A9" s="1" t="s">
        <v>60</v>
      </c>
      <c r="B9" s="6">
        <v>0.02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5.0" customHeight="1">
      <c r="A10" s="1" t="s">
        <v>61</v>
      </c>
      <c r="B10" s="6">
        <v>0.02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5.0" customHeight="1">
      <c r="A11" s="1" t="s">
        <v>62</v>
      </c>
      <c r="B11" s="1">
        <v>1.0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5.0" customHeight="1">
      <c r="A12" s="1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5.0" customHeight="1">
      <c r="A13" s="3" t="s">
        <v>63</v>
      </c>
      <c r="B13" s="25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5.0" customHeight="1">
      <c r="A14" s="1" t="s">
        <v>64</v>
      </c>
      <c r="B14" s="5">
        <v>61325.0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5.0" customHeight="1">
      <c r="A15" s="1" t="s">
        <v>65</v>
      </c>
      <c r="B15" s="5">
        <v>22500.0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5.0" customHeight="1">
      <c r="A16" s="1" t="s">
        <v>66</v>
      </c>
      <c r="B16" s="27">
        <v>18000.0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5.0" customHeight="1">
      <c r="A17" s="1" t="s">
        <v>67</v>
      </c>
      <c r="B17" s="5">
        <v>45000.0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5.0" customHeight="1">
      <c r="A18" s="1" t="s">
        <v>68</v>
      </c>
      <c r="B18" s="28">
        <f>B34*'Model Inputs'!B24</f>
        <v>18527.6928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5.0" customHeight="1">
      <c r="A19" s="29" t="s">
        <v>69</v>
      </c>
      <c r="B19" s="27">
        <v>2500.0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5.0" customHeight="1">
      <c r="A20" s="26" t="s">
        <v>70</v>
      </c>
      <c r="B20" s="27">
        <v>2400.0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0" customHeight="1">
      <c r="A21" s="26" t="s">
        <v>71</v>
      </c>
      <c r="B21" s="27">
        <v>2600.0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0" customHeight="1">
      <c r="A22" s="29" t="s">
        <v>72</v>
      </c>
      <c r="B22" s="27">
        <v>6000.0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0" customHeight="1">
      <c r="A23" s="29" t="s">
        <v>73</v>
      </c>
      <c r="B23" s="27">
        <v>4600.0</v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0" customHeight="1">
      <c r="A24" s="29" t="s">
        <v>74</v>
      </c>
      <c r="B24" s="27">
        <v>900.0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0" customHeight="1">
      <c r="A25" s="29" t="s">
        <v>75</v>
      </c>
      <c r="B25" s="27">
        <v>0.0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0" customHeight="1">
      <c r="A26" s="1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3" t="s">
        <v>76</v>
      </c>
      <c r="B27" s="2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1" t="s">
        <v>77</v>
      </c>
      <c r="B28" s="5">
        <v>350.0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1" t="s">
        <v>78</v>
      </c>
      <c r="B29" s="5">
        <v>400.0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1" t="s">
        <v>79</v>
      </c>
      <c r="B30" s="5">
        <v>0.0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1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3" t="s">
        <v>80</v>
      </c>
      <c r="B32" s="30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1" t="s">
        <v>81</v>
      </c>
      <c r="B33" s="5">
        <f>B4*B6*12</f>
        <v>462720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31" t="s">
        <v>82</v>
      </c>
      <c r="B34" s="5">
        <f>B33*B5*(1-B9)+(B8*12)</f>
        <v>463192.32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1"/>
      <c r="B35" s="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13" t="s">
        <v>80</v>
      </c>
      <c r="B36" s="5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1"/>
      <c r="B37" s="5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31" t="s">
        <v>83</v>
      </c>
      <c r="B38" s="3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1" t="s">
        <v>84</v>
      </c>
      <c r="B39" s="5">
        <f>B34*((12-'Model Inputs'!B46+'Model Inputs'!B46*(1-'Model Inputs'!B47))/12)</f>
        <v>393713.472</v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1" t="s">
        <v>85</v>
      </c>
      <c r="B40" s="5">
        <f>B39*'Model Inputs'!B24</f>
        <v>15748.53888</v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33" t="s">
        <v>86</v>
      </c>
      <c r="B41" s="5">
        <f>B14+B15+B16+B17+B40+(SUM(B19:B25))</f>
        <v>181573.5389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1" t="s">
        <v>87</v>
      </c>
      <c r="B42" s="32">
        <f>B39-B41</f>
        <v>212139.9331</v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1" t="s">
        <v>88</v>
      </c>
      <c r="B43" s="6">
        <f>B41/B39</f>
        <v>0.46118193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1"/>
      <c r="B44" s="5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33" t="s">
        <v>89</v>
      </c>
      <c r="B45" s="3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1" t="s">
        <v>90</v>
      </c>
      <c r="B46" s="5">
        <f>B34</f>
        <v>463192.32</v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1" t="s">
        <v>91</v>
      </c>
      <c r="B47" s="5">
        <f>B18</f>
        <v>18527.6928</v>
      </c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1" t="s">
        <v>92</v>
      </c>
      <c r="B48" s="5">
        <f>SUM(B14:B25)</f>
        <v>184352.6928</v>
      </c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1" t="s">
        <v>93</v>
      </c>
      <c r="B49" s="32">
        <f>B46-B48</f>
        <v>278839.6272</v>
      </c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1" t="s">
        <v>94</v>
      </c>
      <c r="B50" s="6">
        <f>B48/B46</f>
        <v>0.3980046405</v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1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1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1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1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1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1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1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1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1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1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1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1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1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1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1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1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1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1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1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1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1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1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1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1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1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1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1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1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1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1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1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1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1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1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1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1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1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1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1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1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1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1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1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1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1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1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1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1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1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1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1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1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1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1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1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1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1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1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1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1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1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1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1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1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1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1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1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1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1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1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1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1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1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1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1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1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1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1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1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1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1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1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1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1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1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1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1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1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1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1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1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1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1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1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1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1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1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1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1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1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1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1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1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1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1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1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1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1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1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1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1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1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1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1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1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1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1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1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1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1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1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1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1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1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1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1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1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1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1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1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1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1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1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1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1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1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1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1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1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1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1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1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1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1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1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1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1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1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1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1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1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1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1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1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1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1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1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1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1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1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1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1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1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1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1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1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1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1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1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1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1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1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1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1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1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1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1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1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1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1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1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1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1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1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1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1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1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1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1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1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1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1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1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1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1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1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1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1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1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1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1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1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1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1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1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1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1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1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1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1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1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1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1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1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1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1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1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1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1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1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1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1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1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1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1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1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1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1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1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1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1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1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1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1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1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1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1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1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1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1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1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1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1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1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1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1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1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1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1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1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1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1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1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1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1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1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1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1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1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1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1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1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1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1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1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1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1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1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1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1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1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1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1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1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1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1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1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1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1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1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1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1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1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1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1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1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1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1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1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1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1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1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1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1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1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1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1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1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1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1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1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1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1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1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1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1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1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1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1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1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1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1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1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1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1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1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1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1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1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1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1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1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1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1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1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1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1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1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1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1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1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1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1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1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1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1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1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1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1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1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1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1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1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1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1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1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1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1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1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1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1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1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1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1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1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1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1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1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1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1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1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1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1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1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1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1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1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1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1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1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1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1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1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1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1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1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1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1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1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1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1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1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1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1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1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1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1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1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1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1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1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1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1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1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1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1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1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1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1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1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1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1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1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1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1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1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1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1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1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1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1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1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1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1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1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1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1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1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1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1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1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1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1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1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1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1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1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1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1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1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1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1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1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1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1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1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1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1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1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1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1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1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1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1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1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1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1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1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1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1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1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1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1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1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1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1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1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1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1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1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1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1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1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1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1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1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1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1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1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1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1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1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1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1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1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1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1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1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1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1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1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1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1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1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1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1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1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1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1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1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1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1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1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1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1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1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1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1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1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1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1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1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1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1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1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1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1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1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1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1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1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1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1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1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1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1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1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1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1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1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1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1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1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1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1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1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1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1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1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1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1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1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1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1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1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1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1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1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1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1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1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1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1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1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1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1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1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1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1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1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1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1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1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1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1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1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1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1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1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1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1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1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1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1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1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1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1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1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1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1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1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1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1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1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1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1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1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1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1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1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1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1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1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1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1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1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1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1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1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1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1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1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1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1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1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1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1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1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1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1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1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1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1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1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1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1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1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1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1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1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1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1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1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1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1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1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1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1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1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1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1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1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1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1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1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1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1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1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1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1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1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1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1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1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1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1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1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1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1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1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1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1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1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1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1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1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1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1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1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1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1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1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1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1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1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1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1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1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1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1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1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1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1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1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1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1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1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1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1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1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1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1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1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1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1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1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1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1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1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1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1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1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1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1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1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1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1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1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1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1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1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1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1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1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1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1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1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1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1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1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1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1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1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1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1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1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1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1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1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1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1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1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1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1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1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1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1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1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1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1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1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1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1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1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1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1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1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1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1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1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1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1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1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1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1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1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1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1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1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1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1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1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1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1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1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1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1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1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1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1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1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1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1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1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1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1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1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1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1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1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1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1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1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1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1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1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1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1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1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1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1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1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1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1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1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1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1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1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1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1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1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1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1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1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1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1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1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1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1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1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1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1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1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1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1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1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1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1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1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1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1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1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1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1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1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1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1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1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1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1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1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1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1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1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1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1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1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1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1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1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1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1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1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1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1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1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1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1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1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1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1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1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1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1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1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1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1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1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1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1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1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1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1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1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1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1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1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1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1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1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1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1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1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1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1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1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1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1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1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1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1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1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1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1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1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1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1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1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1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1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1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1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1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1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1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1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1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1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1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1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1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1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1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1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1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1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1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1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1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1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1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1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1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1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1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1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1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1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1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1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1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1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1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1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1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1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1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1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1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1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1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1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1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1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1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1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1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1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1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1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1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1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1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1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1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1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1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1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1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1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1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1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1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1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1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1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1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1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1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1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1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1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1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1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1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1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1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1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1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ht="15.75" customHeight="1">
      <c r="A1001" s="1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  <row r="1002" ht="15.75" customHeight="1">
      <c r="A1002" s="1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</row>
    <row r="1003" ht="15.75" customHeight="1">
      <c r="A1003" s="1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</row>
    <row r="1004" ht="15.75" customHeight="1">
      <c r="A1004" s="1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</row>
    <row r="1005" ht="15.75" customHeight="1">
      <c r="A1005" s="1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</row>
    <row r="1006" ht="15.75" customHeight="1">
      <c r="A1006" s="1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</row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8.78"/>
    <col customWidth="1" min="2" max="6" width="11.22"/>
  </cols>
  <sheetData>
    <row r="1" ht="15.0" customHeight="1">
      <c r="A1" s="1" t="s">
        <v>95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5.0" customHeight="1">
      <c r="A2" s="1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0" customHeight="1">
      <c r="A3" s="3" t="s">
        <v>96</v>
      </c>
      <c r="B3" s="34" t="s">
        <v>97</v>
      </c>
      <c r="C3" s="34" t="s">
        <v>98</v>
      </c>
      <c r="D3" s="25" t="s">
        <v>99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5.0" customHeight="1">
      <c r="A4" s="1" t="s">
        <v>100</v>
      </c>
      <c r="B4" s="5">
        <f>'Model Inputs'!B7</f>
        <v>3015750</v>
      </c>
      <c r="C4" s="6">
        <f>IF('Model Inputs'!B6&gt;0,B4/'Model Inputs'!B6,0)</f>
        <v>0.7481394195</v>
      </c>
      <c r="D4" s="6">
        <f>'Model Inputs'!B8</f>
        <v>0.07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5.0" customHeight="1">
      <c r="A5" s="1" t="s">
        <v>101</v>
      </c>
      <c r="B5" s="5">
        <f>'Model Inputs'!B56</f>
        <v>0</v>
      </c>
      <c r="C5" s="6">
        <f>IF('Model Inputs'!B6&gt;0,B5/'Model Inputs'!B6,0)</f>
        <v>0</v>
      </c>
      <c r="D5" s="6">
        <f>'Model Inputs'!B52</f>
        <v>0.05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5.0" customHeight="1">
      <c r="A6" s="1" t="s">
        <v>102</v>
      </c>
      <c r="B6" s="5">
        <f>IF('Model Inputs'!B6&gt;0,('Model Inputs'!B6-'Model Inputs'!B7-'Model Inputs'!B56)*'Model Inputs'!B13,0)</f>
        <v>964487.5</v>
      </c>
      <c r="C6" s="6">
        <f>IF('Model Inputs'!B6&gt;0,B6/'Model Inputs'!B6,0)</f>
        <v>0.2392675515</v>
      </c>
      <c r="D6" s="6">
        <f>'Model Inputs'!B14</f>
        <v>0.07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5.0" customHeight="1">
      <c r="A7" s="1" t="s">
        <v>103</v>
      </c>
      <c r="B7" s="5">
        <f>IF('Model Inputs'!B6&gt;0,('Model Inputs'!B6-'Model Inputs'!B7-'Model Inputs'!B56)*'Model Inputs'!B12,0)</f>
        <v>50762.5</v>
      </c>
      <c r="C7" s="6">
        <f>IF('Model Inputs'!B6&gt;0,B7/'Model Inputs'!B6,0)</f>
        <v>0.01259302903</v>
      </c>
      <c r="D7" s="1" t="s">
        <v>104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5.0" customHeight="1">
      <c r="A8" s="1" t="s">
        <v>105</v>
      </c>
      <c r="B8" s="5">
        <f>'Model Inputs'!B6</f>
        <v>4031000</v>
      </c>
      <c r="C8" s="6">
        <v>1.0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5.0" customHeight="1">
      <c r="A9" s="1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5.0" customHeight="1">
      <c r="A10" s="1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5.0" customHeight="1">
      <c r="A11" s="1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5.0" customHeight="1">
      <c r="A12" s="1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5.0" customHeight="1">
      <c r="A13" s="1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5.0" customHeight="1">
      <c r="A14" s="1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5.0" customHeight="1">
      <c r="A15" s="1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5.0" customHeight="1">
      <c r="A16" s="1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5.0" customHeight="1">
      <c r="A17" s="1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5.0" customHeight="1">
      <c r="A18" s="1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5.0" customHeight="1">
      <c r="A19" s="1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5.0" customHeight="1">
      <c r="A20" s="1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1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1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1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1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1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1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1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1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1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1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1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1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1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1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1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1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1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1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1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1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1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1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1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1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1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1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1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1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1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1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1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1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1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1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1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1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1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1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1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1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1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1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1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1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1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1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1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1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1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1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1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1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1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1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1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1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1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1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1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1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1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1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1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1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1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1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1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1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1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1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1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1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1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1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1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1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1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1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1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1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1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1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1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1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1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1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1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1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1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1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1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1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1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1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1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1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1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1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1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1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1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1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1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1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1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1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1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1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1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1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1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1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1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1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1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1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1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1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1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1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1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1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1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1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1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1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1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1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1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1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1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1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1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1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1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1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1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1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1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1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1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1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1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1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1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1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1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1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1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1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1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1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1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1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1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1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1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1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1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1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1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1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1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1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1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1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1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1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1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1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1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1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1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1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1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1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1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1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1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1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1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1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1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1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1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1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1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1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1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1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1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1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1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1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1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1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1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1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1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1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1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1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1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1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1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1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1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1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1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1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1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1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1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1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1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1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1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1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1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1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1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1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1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1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1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1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1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1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1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1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1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1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1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1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1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1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1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1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1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1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1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1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1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1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1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1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1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1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1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1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1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1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1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1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1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1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1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1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1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1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1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1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1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1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1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1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1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1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1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1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1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1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1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1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1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1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1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1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1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1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1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1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1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1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1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1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1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1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1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1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1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1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1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1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1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1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1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1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1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1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1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1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1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1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1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1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1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1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1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1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1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1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1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1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1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1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1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1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1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1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1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1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1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1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1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1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1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1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1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1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1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1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1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1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1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1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1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1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1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1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1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1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1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1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1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1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1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1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1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1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1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1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1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1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1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1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1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1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1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1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1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1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1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1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1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1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1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1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1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1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1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1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1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1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1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1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1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1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1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1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1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1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1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1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1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1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1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1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1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1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1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1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1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1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1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1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1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1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1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1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1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1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1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1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1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1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1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1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1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1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1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1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1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1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1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1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1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1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1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1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1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1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1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1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1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1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1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1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1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1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1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1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1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1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1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1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1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1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1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1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1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1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1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1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1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1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1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1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1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1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1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1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1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1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1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1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1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1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1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1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1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1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1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1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1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1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1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1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1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1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1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1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1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1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1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1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1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1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1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1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1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1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1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1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1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1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1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1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1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1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1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1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1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1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1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1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1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1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1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1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1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1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1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1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1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1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1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1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1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1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1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1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1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1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1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1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1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1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1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1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1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1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1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1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1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1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1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1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1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1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1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1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1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1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1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1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1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1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1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1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1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1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1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1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1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1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1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1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1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1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1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1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1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1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1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1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1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1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1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1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1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1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1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1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1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1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1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1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1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1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1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1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1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1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1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1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1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1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1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1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1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1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1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1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1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1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1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1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1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1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1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1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1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1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1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1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1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1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1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1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1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1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1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1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1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1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1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1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1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1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1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1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1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1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1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1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1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1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1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1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1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1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1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1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1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1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1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1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1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1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1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1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1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1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1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1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1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1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1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1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1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1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1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1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1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1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1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1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1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1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1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1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1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1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1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1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1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1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1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1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1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1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1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1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1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1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1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1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1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1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1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1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1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1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1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1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1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1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1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1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1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1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1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1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1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1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1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1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1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1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1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1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1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1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1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1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1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1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1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1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1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1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1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1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1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1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1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1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1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1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1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1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1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1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1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1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1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1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1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1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1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1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1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1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1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1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1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1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1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1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1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1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1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1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1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1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1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1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1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1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1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1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1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1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1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1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1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1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1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1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1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1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1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1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1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1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1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1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1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1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1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1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1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1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1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1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1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1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1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1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1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1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1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1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1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1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1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1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1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1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1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1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1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1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1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1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1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1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1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1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1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1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1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1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1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1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1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1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1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1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1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1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1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1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1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1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1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1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1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1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1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1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1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1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1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1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1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1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1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1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1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1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1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1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1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1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1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1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1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1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1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1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1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1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1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1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1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1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1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1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1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1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1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1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1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1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1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1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1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1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1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1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1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1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1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1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1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1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1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1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1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1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1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1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1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1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1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1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1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1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1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1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1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1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1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1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1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1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1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1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1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1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1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1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1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1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1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1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1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1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1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1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1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1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1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1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1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1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1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1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1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1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1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1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1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1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1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1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1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1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1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1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1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1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1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1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1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1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1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1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1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1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1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1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1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1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1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1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1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1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1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1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1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1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1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1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1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1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1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1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1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1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1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1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1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1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1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1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1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1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1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1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1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1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1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1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1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1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1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1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1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1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1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1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1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1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1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1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1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1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1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1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1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1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1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1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1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1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1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2.78"/>
    <col customWidth="1" min="2" max="4" width="11.22"/>
    <col customWidth="1" min="5" max="5" width="11.56"/>
    <col customWidth="1" min="6" max="6" width="11.22"/>
  </cols>
  <sheetData>
    <row r="1" ht="15.0" customHeight="1">
      <c r="A1" s="1" t="s">
        <v>106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5.0" customHeight="1">
      <c r="A2" s="1"/>
      <c r="B2" s="2"/>
      <c r="C2" s="2"/>
      <c r="D2" s="2"/>
      <c r="E2" s="2"/>
      <c r="F2" s="2"/>
      <c r="G2" s="2"/>
      <c r="H2" s="35" t="s">
        <v>107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0" customHeight="1">
      <c r="A3" s="3" t="s">
        <v>108</v>
      </c>
      <c r="B3" s="34" t="s">
        <v>109</v>
      </c>
      <c r="C3" s="34" t="s">
        <v>110</v>
      </c>
      <c r="D3" s="34" t="s">
        <v>111</v>
      </c>
      <c r="E3" s="34" t="s">
        <v>112</v>
      </c>
      <c r="F3" s="25" t="s">
        <v>113</v>
      </c>
      <c r="G3" s="2"/>
      <c r="H3" s="36">
        <f>-1*('Capital Stack'!B6+'Capital Stack'!B7)</f>
        <v>-1015250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5.0" customHeight="1">
      <c r="A4" s="1" t="s">
        <v>114</v>
      </c>
      <c r="B4" s="5">
        <f>'Model Inputs'!B16</f>
        <v>212139.9331</v>
      </c>
      <c r="C4" s="5">
        <f>'Model Inputs'!B41</f>
        <v>211102.5</v>
      </c>
      <c r="D4" s="5">
        <f>(Assumptions!B28+Assumptions!B29+Assumptions!B30)*'Model Inputs'!B5</f>
        <v>24000</v>
      </c>
      <c r="E4" s="5">
        <f t="shared" ref="E4:E13" si="1">B4-C4-D4</f>
        <v>-22962.56688</v>
      </c>
      <c r="F4" s="6">
        <f>IF(('Capital Stack'!B6+'Capital Stack'!B7)&gt;0, E4/('Capital Stack'!B6+'Capital Stack'!B7), 0)</f>
        <v>-0.02261764775</v>
      </c>
      <c r="G4" s="2"/>
      <c r="H4" s="5">
        <f>E4 + IF(1='Model Inputs'!B18, (((IF('Model Inputs'!B18&gt;1,IF('Model Inputs'!B48&gt;0,'Model Inputs'!B48,('Model Inputs'!B16*(1+'Model Inputs'!B17)*(1-('Model Inputs'!B21-('Model Inputs'!B21-'Model Inputs'!B22)*MIN(1,'Model Inputs'!B23)/MAX(1,'Model Inputs'!B23)))))*POWER(1+'Model Inputs'!B17,'Model Inputs'!B18-2),'Model Inputs'!B16*POWER(1+'Model Inputs'!B17,'Model Inputs'!B18)))/'Model Inputs'!B19)*(1-'Model Inputs'!B20)) - (IF(AND('Model Inputs'!B29&gt;0,'Model Inputs'!B18&gt;'Model Inputs'!B29,'Model Inputs'!B38&gt;0),IF(MIN(MAX(0,('Model Inputs'!B18-'Model Inputs'!B29)*12),'Model Inputs'!B31*12)&gt;0,IF('Model Inputs'!B30&gt;0,'Model Inputs'!B38*POWER(1+'Model Inputs'!B30/12,MIN(MAX(0,('Model Inputs'!B18-'Model Inputs'!B29)*12),'Model Inputs'!B31*12))-ABS(PMT('Model Inputs'!B30/12,'Model Inputs'!B31*12,'Model Inputs'!B38))*((POWER(1+'Model Inputs'!B30/12,MIN(MAX(0,('Model Inputs'!B18-'Model Inputs'!B29)*12),'Model Inputs'!B31*12))-1)/('Model Inputs'!B30/12)),MAX(0,'Model Inputs'!B38-ABS(PMT('Model Inputs'!B30/12,'Model Inputs'!B31*12,'Model Inputs'!B38))*MIN(MAX(0,('Model Inputs'!B18-'Model Inputs'!B29)*12),'Model Inputs'!B31*12))),'Model Inputs'!B38),IF(MAX(0,MIN('Model Inputs'!B18*12,'Model Inputs'!B9*12)-'Model Inputs'!B25)&gt;0,IF('Model Inputs'!B8&gt;0,'Model Inputs'!B7*POWER(1+'Model Inputs'!B8/12,MAX(0,MIN('Model Inputs'!B18*12,'Model Inputs'!B9*12)-'Model Inputs'!B25))-ABS(PMT('Model Inputs'!B8/12,'Model Inputs'!B10*12,'Model Inputs'!B7))*((POWER(1+'Model Inputs'!B8/12,MAX(0,MIN('Model Inputs'!B18*12,'Model Inputs'!B9*12)-'Model Inputs'!B25))-1)/('Model Inputs'!B8/12)),MAX(0,'Model Inputs'!B7-ABS(PMT('Model Inputs'!B8/12,'Model Inputs'!B10*12,'Model Inputs'!B7))*MAX(0,MIN('Model Inputs'!B18*12,'Model Inputs'!B9*12)-'Model Inputs'!B25))),'Model Inputs'!B7))), 0) + IF(AND(1='Model Inputs'!B29, 'Model Inputs'!B60=0), Refinance!B7, 0)</f>
        <v>-22962.56688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5.0" customHeight="1">
      <c r="A5" s="1" t="s">
        <v>115</v>
      </c>
      <c r="B5" s="5">
        <f>IF('Model Inputs'!B48&gt;0,'Model Inputs'!B48,('Model Inputs'!B16*(1+'Model Inputs'!B17)*(1-('Model Inputs'!B21-('Model Inputs'!B21-'Model Inputs'!B22)*MIN(1,'Model Inputs'!B23)/MAX(1,'Model Inputs'!B23)))))</f>
        <v>278839.6272</v>
      </c>
      <c r="C5" s="5">
        <f>'Model Inputs'!B42</f>
        <v>211102.5</v>
      </c>
      <c r="D5" s="5">
        <f>(Assumptions!B28+Assumptions!B29+Assumptions!B30)*'Model Inputs'!B5</f>
        <v>24000</v>
      </c>
      <c r="E5" s="5">
        <f t="shared" si="1"/>
        <v>43737.1272</v>
      </c>
      <c r="F5" s="6">
        <f>IF(('Capital Stack'!B6+'Capital Stack'!B7)&gt;0, E5/('Capital Stack'!B6+'Capital Stack'!B7), 0)</f>
        <v>0.04308015484</v>
      </c>
      <c r="G5" s="2"/>
      <c r="H5" s="5">
        <f>E5 + IF(2='Model Inputs'!B18, (((IF('Model Inputs'!B18&gt;1,IF('Model Inputs'!B48&gt;0,'Model Inputs'!B48,('Model Inputs'!B16*(1+'Model Inputs'!B17)*(1-('Model Inputs'!B21-('Model Inputs'!B21-'Model Inputs'!B22)*MIN(1,'Model Inputs'!B23)/MAX(1,'Model Inputs'!B23)))))*POWER(1+'Model Inputs'!B17,'Model Inputs'!B18-2),'Model Inputs'!B16*POWER(1+'Model Inputs'!B17,'Model Inputs'!B18)))/'Model Inputs'!B19)*(1-'Model Inputs'!B20)) - (IF(AND('Model Inputs'!B29&gt;0,'Model Inputs'!B18&gt;'Model Inputs'!B29,'Model Inputs'!B38&gt;0),IF(MIN(MAX(0,('Model Inputs'!B18-'Model Inputs'!B29)*12),'Model Inputs'!B31*12)&gt;0,IF('Model Inputs'!B30&gt;0,'Model Inputs'!B38*POWER(1+'Model Inputs'!B30/12,MIN(MAX(0,('Model Inputs'!B18-'Model Inputs'!B29)*12),'Model Inputs'!B31*12))-ABS(PMT('Model Inputs'!B30/12,'Model Inputs'!B31*12,'Model Inputs'!B38))*((POWER(1+'Model Inputs'!B30/12,MIN(MAX(0,('Model Inputs'!B18-'Model Inputs'!B29)*12),'Model Inputs'!B31*12))-1)/('Model Inputs'!B30/12)),MAX(0,'Model Inputs'!B38-ABS(PMT('Model Inputs'!B30/12,'Model Inputs'!B31*12,'Model Inputs'!B38))*MIN(MAX(0,('Model Inputs'!B18-'Model Inputs'!B29)*12),'Model Inputs'!B31*12))),'Model Inputs'!B38),IF(MAX(0,MIN('Model Inputs'!B18*12,'Model Inputs'!B9*12)-'Model Inputs'!B25)&gt;0,IF('Model Inputs'!B8&gt;0,'Model Inputs'!B7*POWER(1+'Model Inputs'!B8/12,MAX(0,MIN('Model Inputs'!B18*12,'Model Inputs'!B9*12)-'Model Inputs'!B25))-ABS(PMT('Model Inputs'!B8/12,'Model Inputs'!B10*12,'Model Inputs'!B7))*((POWER(1+'Model Inputs'!B8/12,MAX(0,MIN('Model Inputs'!B18*12,'Model Inputs'!B9*12)-'Model Inputs'!B25))-1)/('Model Inputs'!B8/12)),MAX(0,'Model Inputs'!B7-ABS(PMT('Model Inputs'!B8/12,'Model Inputs'!B10*12,'Model Inputs'!B7))*MAX(0,MIN('Model Inputs'!B18*12,'Model Inputs'!B9*12)-'Model Inputs'!B25))),'Model Inputs'!B7))), 0) + IF(AND(2='Model Inputs'!B29, 'Model Inputs'!B60=0), Refinance!B7, 0)</f>
        <v>43737.1272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5.0" customHeight="1">
      <c r="A6" s="1" t="s">
        <v>116</v>
      </c>
      <c r="B6" s="5">
        <f>(IF('Model Inputs'!B48&gt;0,'Model Inputs'!B48,('Model Inputs'!B16*(1+'Model Inputs'!B17)*(1-('Model Inputs'!B21-('Model Inputs'!B21-'Model Inputs'!B22)*MIN(1,'Model Inputs'!B23)/MAX(1,'Model Inputs'!B23))))))*POWER(1+'Model Inputs'!B17,1)</f>
        <v>287762.4953</v>
      </c>
      <c r="C6" s="5">
        <f>'Model Inputs'!B43</f>
        <v>171639.8742</v>
      </c>
      <c r="D6" s="5">
        <f>(Assumptions!B28+Assumptions!B29+Assumptions!B30)*'Model Inputs'!B5</f>
        <v>24000</v>
      </c>
      <c r="E6" s="5">
        <f t="shared" si="1"/>
        <v>92122.62106</v>
      </c>
      <c r="F6" s="6">
        <f>IF(('Capital Stack'!B6+'Capital Stack'!B7)&gt;0, E6/('Capital Stack'!B6+'Capital Stack'!B7), 0)</f>
        <v>0.09073885355</v>
      </c>
      <c r="G6" s="2"/>
      <c r="H6" s="5">
        <f>E6 + IF(AND(3='Model Inputs'!B29, 'Model Inputs'!B60=0), Refinance!B7, 0) + IF(3='Model Inputs'!B18, (((IF('Model Inputs'!B18&gt;1,IF('Model Inputs'!B48&gt;0,'Model Inputs'!B48,('Model Inputs'!B16*(1+'Model Inputs'!B17)*(1-('Model Inputs'!B21-('Model Inputs'!B21-'Model Inputs'!B22)*MIN(1,'Model Inputs'!B23)/MAX(1,'Model Inputs'!B23)))))*POWER(1+'Model Inputs'!B17,'Model Inputs'!B18-2),'Model Inputs'!B16*POWER(1+'Model Inputs'!B17,'Model Inputs'!B18)))/'Model Inputs'!B19)*(1-'Model Inputs'!B20)) - (IF(AND('Model Inputs'!B29&gt;0,'Model Inputs'!B18&gt;'Model Inputs'!B29,'Model Inputs'!B38&gt;0),IF(MIN(MAX(0,('Model Inputs'!B18-'Model Inputs'!B29)*12),'Model Inputs'!B31*12)&gt;0,IF('Model Inputs'!B30&gt;0,'Model Inputs'!B38*POWER(1+'Model Inputs'!B30/12,MIN(MAX(0,('Model Inputs'!B18-'Model Inputs'!B29)*12),'Model Inputs'!B31*12))-ABS(PMT('Model Inputs'!B30/12,'Model Inputs'!B31*12,'Model Inputs'!B38))*((POWER(1+'Model Inputs'!B30/12,MIN(MAX(0,('Model Inputs'!B18-'Model Inputs'!B29)*12),'Model Inputs'!B31*12))-1)/('Model Inputs'!B30/12)),MAX(0,'Model Inputs'!B38-ABS(PMT('Model Inputs'!B30/12,'Model Inputs'!B31*12,'Model Inputs'!B38))*MIN(MAX(0,('Model Inputs'!B18-'Model Inputs'!B29)*12),'Model Inputs'!B31*12))),'Model Inputs'!B38),IF(MAX(0,MIN('Model Inputs'!B18*12,'Model Inputs'!B9*12)-'Model Inputs'!B25)&gt;0,IF('Model Inputs'!B8&gt;0,'Model Inputs'!B7*POWER(1+'Model Inputs'!B8/12,MAX(0,MIN('Model Inputs'!B18*12,'Model Inputs'!B9*12)-'Model Inputs'!B25))-ABS(PMT('Model Inputs'!B8/12,'Model Inputs'!B10*12,'Model Inputs'!B7))*((POWER(1+'Model Inputs'!B8/12,MAX(0,MIN('Model Inputs'!B18*12,'Model Inputs'!B9*12)-'Model Inputs'!B25))-1)/('Model Inputs'!B8/12)),MAX(0,'Model Inputs'!B7-ABS(PMT('Model Inputs'!B8/12,'Model Inputs'!B10*12,'Model Inputs'!B7))*MAX(0,MIN('Model Inputs'!B18*12,'Model Inputs'!B9*12)-'Model Inputs'!B25))),'Model Inputs'!B7))), 0)</f>
        <v>2096025.995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5.0" customHeight="1">
      <c r="A7" s="1" t="s">
        <v>117</v>
      </c>
      <c r="B7" s="5">
        <f>(IF('Model Inputs'!B48&gt;0,'Model Inputs'!B48,('Model Inputs'!B16*(1+'Model Inputs'!B17)*(1-('Model Inputs'!B21-('Model Inputs'!B21-'Model Inputs'!B22)*MIN(1,'Model Inputs'!B23)/MAX(1,'Model Inputs'!B23))))))*POWER(1+'Model Inputs'!B17,2)</f>
        <v>296970.8951</v>
      </c>
      <c r="C7" s="5">
        <f>'Model Inputs'!B44</f>
        <v>171639.8742</v>
      </c>
      <c r="D7" s="5">
        <f>(Assumptions!B28+Assumptions!B29+Assumptions!B30)*'Model Inputs'!B5</f>
        <v>24000</v>
      </c>
      <c r="E7" s="5">
        <f t="shared" si="1"/>
        <v>101331.0209</v>
      </c>
      <c r="F7" s="6">
        <f>IF(('Capital Stack'!B6+'Capital Stack'!B7)&gt;0, E7/('Capital Stack'!B6+'Capital Stack'!B7), 0)</f>
        <v>0.09980893466</v>
      </c>
      <c r="G7" s="2"/>
      <c r="H7" s="5">
        <f>E7 + IF(AND(4='Model Inputs'!B29, 'Model Inputs'!B60=0), Refinance!B7, 0) + IF(4='Model Inputs'!B18, (((IF('Model Inputs'!B18&gt;1,IF('Model Inputs'!B48&gt;0,'Model Inputs'!B48,('Model Inputs'!B16*(1+'Model Inputs'!B17)*(1-('Model Inputs'!B21-('Model Inputs'!B21-'Model Inputs'!B22)*MIN(1,'Model Inputs'!B23)/MAX(1,'Model Inputs'!B23)))))*POWER(1+'Model Inputs'!B17,'Model Inputs'!B18-2),'Model Inputs'!B16*POWER(1+'Model Inputs'!B17,'Model Inputs'!B18)))/'Model Inputs'!B19)*(1-'Model Inputs'!B20)) - (IF(AND('Model Inputs'!B29&gt;0,'Model Inputs'!B18&gt;'Model Inputs'!B29,'Model Inputs'!B38&gt;0),IF(MIN(MAX(0,('Model Inputs'!B18-'Model Inputs'!B29)*12),'Model Inputs'!B31*12)&gt;0,IF('Model Inputs'!B30&gt;0,'Model Inputs'!B38*POWER(1+'Model Inputs'!B30/12,MIN(MAX(0,('Model Inputs'!B18-'Model Inputs'!B29)*12),'Model Inputs'!B31*12))-ABS(PMT('Model Inputs'!B30/12,'Model Inputs'!B31*12,'Model Inputs'!B38))*((POWER(1+'Model Inputs'!B30/12,MIN(MAX(0,('Model Inputs'!B18-'Model Inputs'!B29)*12),'Model Inputs'!B31*12))-1)/('Model Inputs'!B30/12)),MAX(0,'Model Inputs'!B38-ABS(PMT('Model Inputs'!B30/12,'Model Inputs'!B31*12,'Model Inputs'!B38))*MIN(MAX(0,('Model Inputs'!B18-'Model Inputs'!B29)*12),'Model Inputs'!B31*12))),'Model Inputs'!B38),IF(MAX(0,MIN('Model Inputs'!B18*12,'Model Inputs'!B9*12)-'Model Inputs'!B25)&gt;0,IF('Model Inputs'!B8&gt;0,'Model Inputs'!B7*POWER(1+'Model Inputs'!B8/12,MAX(0,MIN('Model Inputs'!B18*12,'Model Inputs'!B9*12)-'Model Inputs'!B25))-ABS(PMT('Model Inputs'!B8/12,'Model Inputs'!B10*12,'Model Inputs'!B7))*((POWER(1+'Model Inputs'!B8/12,MAX(0,MIN('Model Inputs'!B18*12,'Model Inputs'!B9*12)-'Model Inputs'!B25))-1)/('Model Inputs'!B8/12)),MAX(0,'Model Inputs'!B7-ABS(PMT('Model Inputs'!B8/12,'Model Inputs'!B10*12,'Model Inputs'!B7))*MAX(0,MIN('Model Inputs'!B18*12,'Model Inputs'!B9*12)-'Model Inputs'!B25))),'Model Inputs'!B7))), 0)</f>
        <v>101331.0209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5.0" customHeight="1">
      <c r="A8" s="1" t="s">
        <v>118</v>
      </c>
      <c r="B8" s="5">
        <f>(IF('Model Inputs'!B48&gt;0,'Model Inputs'!B48,('Model Inputs'!B16*(1+'Model Inputs'!B17)*(1-('Model Inputs'!B21-('Model Inputs'!B21-'Model Inputs'!B22)*MIN(1,'Model Inputs'!B23)/MAX(1,'Model Inputs'!B23))))))*POWER(1+'Model Inputs'!B17,3)</f>
        <v>306473.9638</v>
      </c>
      <c r="C8" s="5">
        <f>'Model Inputs'!B45</f>
        <v>171639.8742</v>
      </c>
      <c r="D8" s="5">
        <f>(Assumptions!B28+Assumptions!B29+Assumptions!B30)*'Model Inputs'!B5</f>
        <v>24000</v>
      </c>
      <c r="E8" s="5">
        <f t="shared" si="1"/>
        <v>110834.0896</v>
      </c>
      <c r="F8" s="6">
        <f>IF(('Capital Stack'!B6+'Capital Stack'!B7)&gt;0, E8/('Capital Stack'!B6+'Capital Stack'!B7), 0)</f>
        <v>0.1091692584</v>
      </c>
      <c r="G8" s="2"/>
      <c r="H8" s="5">
        <f>E8 + IF(AND(5='Model Inputs'!B29, 'Model Inputs'!B60=0), Refinance!B7, 0) + IF(5='Model Inputs'!B18, (((IF('Model Inputs'!B18&gt;1,IF('Model Inputs'!B48&gt;0,'Model Inputs'!B48,('Model Inputs'!B16*(1+'Model Inputs'!B17)*(1-('Model Inputs'!B21-('Model Inputs'!B21-'Model Inputs'!B22)*MIN(1,'Model Inputs'!B23)/MAX(1,'Model Inputs'!B23)))))*POWER(1+'Model Inputs'!B17,'Model Inputs'!B18-2),'Model Inputs'!B16*POWER(1+'Model Inputs'!B17,'Model Inputs'!B18)))/'Model Inputs'!B19)*(1-'Model Inputs'!B20)) - (IF(AND('Model Inputs'!B29&gt;0,'Model Inputs'!B18&gt;'Model Inputs'!B29,'Model Inputs'!B38&gt;0),IF(MIN(MAX(0,('Model Inputs'!B18-'Model Inputs'!B29)*12),'Model Inputs'!B31*12)&gt;0,IF('Model Inputs'!B30&gt;0,'Model Inputs'!B38*POWER(1+'Model Inputs'!B30/12,MIN(MAX(0,('Model Inputs'!B18-'Model Inputs'!B29)*12),'Model Inputs'!B31*12))-ABS(PMT('Model Inputs'!B30/12,'Model Inputs'!B31*12,'Model Inputs'!B38))*((POWER(1+'Model Inputs'!B30/12,MIN(MAX(0,('Model Inputs'!B18-'Model Inputs'!B29)*12),'Model Inputs'!B31*12))-1)/('Model Inputs'!B30/12)),MAX(0,'Model Inputs'!B38-ABS(PMT('Model Inputs'!B30/12,'Model Inputs'!B31*12,'Model Inputs'!B38))*MIN(MAX(0,('Model Inputs'!B18-'Model Inputs'!B29)*12),'Model Inputs'!B31*12))),'Model Inputs'!B38),IF(MAX(0,MIN('Model Inputs'!B18*12,'Model Inputs'!B9*12)-'Model Inputs'!B25)&gt;0,IF('Model Inputs'!B8&gt;0,'Model Inputs'!B7*POWER(1+'Model Inputs'!B8/12,MAX(0,MIN('Model Inputs'!B18*12,'Model Inputs'!B9*12)-'Model Inputs'!B25))-ABS(PMT('Model Inputs'!B8/12,'Model Inputs'!B10*12,'Model Inputs'!B7))*((POWER(1+'Model Inputs'!B8/12,MAX(0,MIN('Model Inputs'!B18*12,'Model Inputs'!B9*12)-'Model Inputs'!B25))-1)/('Model Inputs'!B8/12)),MAX(0,'Model Inputs'!B7-ABS(PMT('Model Inputs'!B8/12,'Model Inputs'!B10*12,'Model Inputs'!B7))*MAX(0,MIN('Model Inputs'!B18*12,'Model Inputs'!B9*12)-'Model Inputs'!B25))),'Model Inputs'!B7))), 0)</f>
        <v>110834.0896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5.0" customHeight="1">
      <c r="A9" s="1" t="s">
        <v>119</v>
      </c>
      <c r="B9" s="5">
        <f>(IF('Model Inputs'!B48&gt;0,'Model Inputs'!B48,('Model Inputs'!B16*(1+'Model Inputs'!B17)*(1-('Model Inputs'!B21-('Model Inputs'!B21-'Model Inputs'!B22)*MIN(1,'Model Inputs'!B23)/MAX(1,'Model Inputs'!B23))))))*POWER(1+'Model Inputs'!B17,4)</f>
        <v>316281.1306</v>
      </c>
      <c r="C9" s="5">
        <f>'Model Inputs'!B61</f>
        <v>171639.8742</v>
      </c>
      <c r="D9" s="5">
        <f>(Assumptions!B28+Assumptions!B29+Assumptions!B30)*'Model Inputs'!B5</f>
        <v>24000</v>
      </c>
      <c r="E9" s="5">
        <f t="shared" si="1"/>
        <v>120641.2564</v>
      </c>
      <c r="F9" s="6">
        <f>IF(('Capital Stack'!B6+'Capital Stack'!B7)&gt;0, E9/('Capital Stack'!B6+'Capital Stack'!B7), 0)</f>
        <v>0.1188291124</v>
      </c>
      <c r="G9" s="2"/>
      <c r="H9" s="5">
        <f>E9 + IF(AND(6='Model Inputs'!B29, 'Model Inputs'!B60=0), Refinance!B7, 0) + IF(6='Model Inputs'!B18, (((IF('Model Inputs'!B18&gt;1,IF('Model Inputs'!B48&gt;0,'Model Inputs'!B48,('Model Inputs'!B16*(1+'Model Inputs'!B17)*(1-('Model Inputs'!B21-('Model Inputs'!B21-'Model Inputs'!B22)*MIN(1,'Model Inputs'!B23)/MAX(1,'Model Inputs'!B23)))))*POWER(1+'Model Inputs'!B17,'Model Inputs'!B18-2),'Model Inputs'!B16*POWER(1+'Model Inputs'!B17,'Model Inputs'!B18)))/'Model Inputs'!B19)*(1-'Model Inputs'!B20)) - (IF(AND('Model Inputs'!B29&gt;0,'Model Inputs'!B18&gt;'Model Inputs'!B29,'Model Inputs'!B38&gt;0),IF(MIN(MAX(0,('Model Inputs'!B18-'Model Inputs'!B29)*12),'Model Inputs'!B31*12)&gt;0,IF('Model Inputs'!B30&gt;0,'Model Inputs'!B38*POWER(1+'Model Inputs'!B30/12,MIN(MAX(0,('Model Inputs'!B18-'Model Inputs'!B29)*12),'Model Inputs'!B31*12))-ABS(PMT('Model Inputs'!B30/12,'Model Inputs'!B31*12,'Model Inputs'!B38))*((POWER(1+'Model Inputs'!B30/12,MIN(MAX(0,('Model Inputs'!B18-'Model Inputs'!B29)*12),'Model Inputs'!B31*12))-1)/('Model Inputs'!B30/12)),MAX(0,'Model Inputs'!B38-ABS(PMT('Model Inputs'!B30/12,'Model Inputs'!B31*12,'Model Inputs'!B38))*MIN(MAX(0,('Model Inputs'!B18-'Model Inputs'!B29)*12),'Model Inputs'!B31*12))),'Model Inputs'!B38),IF(MAX(0,MIN('Model Inputs'!B18*12,'Model Inputs'!B9*12)-'Model Inputs'!B25)&gt;0,IF('Model Inputs'!B8&gt;0,'Model Inputs'!B7*POWER(1+'Model Inputs'!B8/12,MAX(0,MIN('Model Inputs'!B18*12,'Model Inputs'!B9*12)-'Model Inputs'!B25))-ABS(PMT('Model Inputs'!B8/12,'Model Inputs'!B10*12,'Model Inputs'!B7))*((POWER(1+'Model Inputs'!B8/12,MAX(0,MIN('Model Inputs'!B18*12,'Model Inputs'!B9*12)-'Model Inputs'!B25))-1)/('Model Inputs'!B8/12)),MAX(0,'Model Inputs'!B7-ABS(PMT('Model Inputs'!B8/12,'Model Inputs'!B10*12,'Model Inputs'!B7))*MAX(0,MIN('Model Inputs'!B18*12,'Model Inputs'!B9*12)-'Model Inputs'!B25))),'Model Inputs'!B7))), 0)</f>
        <v>120641.2564</v>
      </c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5.0" customHeight="1">
      <c r="A10" s="1" t="s">
        <v>120</v>
      </c>
      <c r="B10" s="5">
        <f>(IF('Model Inputs'!B48&gt;0,'Model Inputs'!B48,('Model Inputs'!B16*(1+'Model Inputs'!B17)*(1-('Model Inputs'!B21-('Model Inputs'!B21-'Model Inputs'!B22)*MIN(1,'Model Inputs'!B23)/MAX(1,'Model Inputs'!B23))))))*POWER(1+'Model Inputs'!B17,5)</f>
        <v>326402.1268</v>
      </c>
      <c r="C10" s="5">
        <f>'Model Inputs'!B62</f>
        <v>171639.8742</v>
      </c>
      <c r="D10" s="5">
        <f>(Assumptions!B28+Assumptions!B29+Assumptions!B30)*'Model Inputs'!B5</f>
        <v>24000</v>
      </c>
      <c r="E10" s="5">
        <f t="shared" si="1"/>
        <v>130762.2526</v>
      </c>
      <c r="F10" s="6">
        <f>IF(('Capital Stack'!B6+'Capital Stack'!B7)&gt;0, E10/('Capital Stack'!B6+'Capital Stack'!B7), 0)</f>
        <v>0.1287980818</v>
      </c>
      <c r="G10" s="2"/>
      <c r="H10" s="5">
        <f>E10 + IF(AND(7='Model Inputs'!B29, 'Model Inputs'!B60=0), Refinance!B7, 0) + IF(7='Model Inputs'!B18, (((IF('Model Inputs'!B18&gt;1,IF('Model Inputs'!B48&gt;0,'Model Inputs'!B48,('Model Inputs'!B16*(1+'Model Inputs'!B17)*(1-('Model Inputs'!B21-('Model Inputs'!B21-'Model Inputs'!B22)*MIN(1,'Model Inputs'!B23)/MAX(1,'Model Inputs'!B23)))))*POWER(1+'Model Inputs'!B17,'Model Inputs'!B18-2),'Model Inputs'!B16*POWER(1+'Model Inputs'!B17,'Model Inputs'!B18)))/'Model Inputs'!B19)*(1-'Model Inputs'!B20)) - (IF(AND('Model Inputs'!B29&gt;0,'Model Inputs'!B18&gt;'Model Inputs'!B29,'Model Inputs'!B38&gt;0),IF(MIN(MAX(0,('Model Inputs'!B18-'Model Inputs'!B29)*12),'Model Inputs'!B31*12)&gt;0,IF('Model Inputs'!B30&gt;0,'Model Inputs'!B38*POWER(1+'Model Inputs'!B30/12,MIN(MAX(0,('Model Inputs'!B18-'Model Inputs'!B29)*12),'Model Inputs'!B31*12))-ABS(PMT('Model Inputs'!B30/12,'Model Inputs'!B31*12,'Model Inputs'!B38))*((POWER(1+'Model Inputs'!B30/12,MIN(MAX(0,('Model Inputs'!B18-'Model Inputs'!B29)*12),'Model Inputs'!B31*12))-1)/('Model Inputs'!B30/12)),MAX(0,'Model Inputs'!B38-ABS(PMT('Model Inputs'!B30/12,'Model Inputs'!B31*12,'Model Inputs'!B38))*MIN(MAX(0,('Model Inputs'!B18-'Model Inputs'!B29)*12),'Model Inputs'!B31*12))),'Model Inputs'!B38),IF(MAX(0,MIN('Model Inputs'!B18*12,'Model Inputs'!B9*12)-'Model Inputs'!B25)&gt;0,IF('Model Inputs'!B8&gt;0,'Model Inputs'!B7*POWER(1+'Model Inputs'!B8/12,MAX(0,MIN('Model Inputs'!B18*12,'Model Inputs'!B9*12)-'Model Inputs'!B25))-ABS(PMT('Model Inputs'!B8/12,'Model Inputs'!B10*12,'Model Inputs'!B7))*((POWER(1+'Model Inputs'!B8/12,MAX(0,MIN('Model Inputs'!B18*12,'Model Inputs'!B9*12)-'Model Inputs'!B25))-1)/('Model Inputs'!B8/12)),MAX(0,'Model Inputs'!B7-ABS(PMT('Model Inputs'!B8/12,'Model Inputs'!B10*12,'Model Inputs'!B7))*MAX(0,MIN('Model Inputs'!B18*12,'Model Inputs'!B9*12)-'Model Inputs'!B25))),'Model Inputs'!B7))), 0)</f>
        <v>130762.2526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5.0" customHeight="1">
      <c r="A11" s="1" t="s">
        <v>121</v>
      </c>
      <c r="B11" s="5">
        <f>(IF('Model Inputs'!B48&gt;0,'Model Inputs'!B48,('Model Inputs'!B16*(1+'Model Inputs'!B17)*(1-('Model Inputs'!B21-('Model Inputs'!B21-'Model Inputs'!B22)*MIN(1,'Model Inputs'!B23)/MAX(1,'Model Inputs'!B23))))))*POWER(1+'Model Inputs'!B17,6)</f>
        <v>336846.9948</v>
      </c>
      <c r="C11" s="5">
        <f>'Model Inputs'!B63</f>
        <v>171639.8742</v>
      </c>
      <c r="D11" s="5">
        <f>(Assumptions!B28+Assumptions!B29+Assumptions!B30)*'Model Inputs'!B5</f>
        <v>24000</v>
      </c>
      <c r="E11" s="5">
        <f t="shared" si="1"/>
        <v>141207.1206</v>
      </c>
      <c r="F11" s="6">
        <f>IF(('Capital Stack'!B6+'Capital Stack'!B7)&gt;0, E11/('Capital Stack'!B6+'Capital Stack'!B7), 0)</f>
        <v>0.1390860582</v>
      </c>
      <c r="G11" s="2"/>
      <c r="H11" s="5">
        <f>E11 + IF(AND(8='Model Inputs'!B29, 'Model Inputs'!B60=0), Refinance!B7, 0) + IF(8='Model Inputs'!B18, (((IF('Model Inputs'!B18&gt;1,IF('Model Inputs'!B48&gt;0,'Model Inputs'!B48,('Model Inputs'!B16*(1+'Model Inputs'!B17)*(1-('Model Inputs'!B21-('Model Inputs'!B21-'Model Inputs'!B22)*MIN(1,'Model Inputs'!B23)/MAX(1,'Model Inputs'!B23)))))*POWER(1+'Model Inputs'!B17,'Model Inputs'!B18-2),'Model Inputs'!B16*POWER(1+'Model Inputs'!B17,'Model Inputs'!B18)))/'Model Inputs'!B19)*(1-'Model Inputs'!B20)) - (IF(AND('Model Inputs'!B29&gt;0,'Model Inputs'!B18&gt;'Model Inputs'!B29,'Model Inputs'!B38&gt;0),IF(MIN(MAX(0,('Model Inputs'!B18-'Model Inputs'!B29)*12),'Model Inputs'!B31*12)&gt;0,IF('Model Inputs'!B30&gt;0,'Model Inputs'!B38*POWER(1+'Model Inputs'!B30/12,MIN(MAX(0,('Model Inputs'!B18-'Model Inputs'!B29)*12),'Model Inputs'!B31*12))-ABS(PMT('Model Inputs'!B30/12,'Model Inputs'!B31*12,'Model Inputs'!B38))*((POWER(1+'Model Inputs'!B30/12,MIN(MAX(0,('Model Inputs'!B18-'Model Inputs'!B29)*12),'Model Inputs'!B31*12))-1)/('Model Inputs'!B30/12)),MAX(0,'Model Inputs'!B38-ABS(PMT('Model Inputs'!B30/12,'Model Inputs'!B31*12,'Model Inputs'!B38))*MIN(MAX(0,('Model Inputs'!B18-'Model Inputs'!B29)*12),'Model Inputs'!B31*12))),'Model Inputs'!B38),IF(MAX(0,MIN('Model Inputs'!B18*12,'Model Inputs'!B9*12)-'Model Inputs'!B25)&gt;0,IF('Model Inputs'!B8&gt;0,'Model Inputs'!B7*POWER(1+'Model Inputs'!B8/12,MAX(0,MIN('Model Inputs'!B18*12,'Model Inputs'!B9*12)-'Model Inputs'!B25))-ABS(PMT('Model Inputs'!B8/12,'Model Inputs'!B10*12,'Model Inputs'!B7))*((POWER(1+'Model Inputs'!B8/12,MAX(0,MIN('Model Inputs'!B18*12,'Model Inputs'!B9*12)-'Model Inputs'!B25))-1)/('Model Inputs'!B8/12)),MAX(0,'Model Inputs'!B7-ABS(PMT('Model Inputs'!B8/12,'Model Inputs'!B10*12,'Model Inputs'!B7))*MAX(0,MIN('Model Inputs'!B18*12,'Model Inputs'!B9*12)-'Model Inputs'!B25))),'Model Inputs'!B7))), 0)</f>
        <v>141207.1206</v>
      </c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5.0" customHeight="1">
      <c r="A12" s="1" t="s">
        <v>122</v>
      </c>
      <c r="B12" s="5">
        <f>(IF('Model Inputs'!B48&gt;0,'Model Inputs'!B48,('Model Inputs'!B16*(1+'Model Inputs'!B17)*(1-('Model Inputs'!B21-('Model Inputs'!B21-'Model Inputs'!B22)*MIN(1,'Model Inputs'!B23)/MAX(1,'Model Inputs'!B23))))))*POWER(1+'Model Inputs'!B17,7)</f>
        <v>347626.0987</v>
      </c>
      <c r="C12" s="5">
        <f>'Model Inputs'!B64</f>
        <v>171639.8742</v>
      </c>
      <c r="D12" s="5">
        <f>(Assumptions!B28+Assumptions!B29+Assumptions!B30)*'Model Inputs'!B5</f>
        <v>24000</v>
      </c>
      <c r="E12" s="5">
        <f t="shared" si="1"/>
        <v>151986.2245</v>
      </c>
      <c r="F12" s="6">
        <f>IF(('Capital Stack'!B6+'Capital Stack'!B7)&gt;0, E12/('Capital Stack'!B6+'Capital Stack'!B7), 0)</f>
        <v>0.1497032499</v>
      </c>
      <c r="G12" s="2"/>
      <c r="H12" s="5">
        <f>E12 + IF(AND(9='Model Inputs'!B29, 'Model Inputs'!B60=0), Refinance!B7, 0) + IF(9='Model Inputs'!B18, (((IF('Model Inputs'!B18&gt;1,IF('Model Inputs'!B48&gt;0,'Model Inputs'!B48,('Model Inputs'!B16*(1+'Model Inputs'!B17)*(1-('Model Inputs'!B21-('Model Inputs'!B21-'Model Inputs'!B22)*MIN(1,'Model Inputs'!B23)/MAX(1,'Model Inputs'!B23)))))*POWER(1+'Model Inputs'!B17,'Model Inputs'!B18-2),'Model Inputs'!B16*POWER(1+'Model Inputs'!B17,'Model Inputs'!B18)))/'Model Inputs'!B19)*(1-'Model Inputs'!B20)) - (IF(AND('Model Inputs'!B29&gt;0,'Model Inputs'!B18&gt;'Model Inputs'!B29,'Model Inputs'!B38&gt;0),IF(MIN(MAX(0,('Model Inputs'!B18-'Model Inputs'!B29)*12),'Model Inputs'!B31*12)&gt;0,IF('Model Inputs'!B30&gt;0,'Model Inputs'!B38*POWER(1+'Model Inputs'!B30/12,MIN(MAX(0,('Model Inputs'!B18-'Model Inputs'!B29)*12),'Model Inputs'!B31*12))-ABS(PMT('Model Inputs'!B30/12,'Model Inputs'!B31*12,'Model Inputs'!B38))*((POWER(1+'Model Inputs'!B30/12,MIN(MAX(0,('Model Inputs'!B18-'Model Inputs'!B29)*12),'Model Inputs'!B31*12))-1)/('Model Inputs'!B30/12)),MAX(0,'Model Inputs'!B38-ABS(PMT('Model Inputs'!B30/12,'Model Inputs'!B31*12,'Model Inputs'!B38))*MIN(MAX(0,('Model Inputs'!B18-'Model Inputs'!B29)*12),'Model Inputs'!B31*12))),'Model Inputs'!B38),IF(MAX(0,MIN('Model Inputs'!B18*12,'Model Inputs'!B9*12)-'Model Inputs'!B25)&gt;0,IF('Model Inputs'!B8&gt;0,'Model Inputs'!B7*POWER(1+'Model Inputs'!B8/12,MAX(0,MIN('Model Inputs'!B18*12,'Model Inputs'!B9*12)-'Model Inputs'!B25))-ABS(PMT('Model Inputs'!B8/12,'Model Inputs'!B10*12,'Model Inputs'!B7))*((POWER(1+'Model Inputs'!B8/12,MAX(0,MIN('Model Inputs'!B18*12,'Model Inputs'!B9*12)-'Model Inputs'!B25))-1)/('Model Inputs'!B8/12)),MAX(0,'Model Inputs'!B7-ABS(PMT('Model Inputs'!B8/12,'Model Inputs'!B10*12,'Model Inputs'!B7))*MAX(0,MIN('Model Inputs'!B18*12,'Model Inputs'!B9*12)-'Model Inputs'!B25))),'Model Inputs'!B7))), 0)</f>
        <v>151986.2245</v>
      </c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5.0" customHeight="1">
      <c r="A13" s="1" t="s">
        <v>123</v>
      </c>
      <c r="B13" s="5">
        <f>(IF('Model Inputs'!B48&gt;0,'Model Inputs'!B48,('Model Inputs'!B16*(1+'Model Inputs'!B17)*(1-('Model Inputs'!B21-('Model Inputs'!B21-'Model Inputs'!B22)*MIN(1,'Model Inputs'!B23)/MAX(1,'Model Inputs'!B23))))))*POWER(1+'Model Inputs'!B17,8)</f>
        <v>358750.1338</v>
      </c>
      <c r="C13" s="5">
        <f>'Model Inputs'!B65</f>
        <v>171639.8742</v>
      </c>
      <c r="D13" s="5">
        <f>(Assumptions!B28+Assumptions!B29+Assumptions!B30)*'Model Inputs'!B5</f>
        <v>24000</v>
      </c>
      <c r="E13" s="5">
        <f t="shared" si="1"/>
        <v>163110.2596</v>
      </c>
      <c r="F13" s="6">
        <f>IF(('Capital Stack'!B6+'Capital Stack'!B7)&gt;0, E13/('Capital Stack'!B6+'Capital Stack'!B7), 0)</f>
        <v>0.1606601917</v>
      </c>
      <c r="G13" s="2"/>
      <c r="H13" s="5">
        <f>E13 + IF(AND(10='Model Inputs'!B29, 'Model Inputs'!B60=0), Refinance!B7, 0) + IF(10='Model Inputs'!B18, (((IF('Model Inputs'!B18&gt;1,IF('Model Inputs'!B48&gt;0,'Model Inputs'!B48,('Model Inputs'!B16*(1+'Model Inputs'!B17)*(1-('Model Inputs'!B21-('Model Inputs'!B21-'Model Inputs'!B22)*MIN(1,'Model Inputs'!B23)/MAX(1,'Model Inputs'!B23)))))*POWER(1+'Model Inputs'!B17,'Model Inputs'!B18-2),'Model Inputs'!B16*POWER(1+'Model Inputs'!B17,'Model Inputs'!B18)))/'Model Inputs'!B19)*(1-'Model Inputs'!B20)) - (IF(AND('Model Inputs'!B29&gt;0,'Model Inputs'!B18&gt;'Model Inputs'!B29,'Model Inputs'!B38&gt;0),IF(MIN(MAX(0,('Model Inputs'!B18-'Model Inputs'!B29)*12),'Model Inputs'!B31*12)&gt;0,IF('Model Inputs'!B30&gt;0,'Model Inputs'!B38*POWER(1+'Model Inputs'!B30/12,MIN(MAX(0,('Model Inputs'!B18-'Model Inputs'!B29)*12),'Model Inputs'!B31*12))-ABS(PMT('Model Inputs'!B30/12,'Model Inputs'!B31*12,'Model Inputs'!B38))*((POWER(1+'Model Inputs'!B30/12,MIN(MAX(0,('Model Inputs'!B18-'Model Inputs'!B29)*12),'Model Inputs'!B31*12))-1)/('Model Inputs'!B30/12)),MAX(0,'Model Inputs'!B38-ABS(PMT('Model Inputs'!B30/12,'Model Inputs'!B31*12,'Model Inputs'!B38))*MIN(MAX(0,('Model Inputs'!B18-'Model Inputs'!B29)*12),'Model Inputs'!B31*12))),'Model Inputs'!B38),IF(MAX(0,MIN('Model Inputs'!B18*12,'Model Inputs'!B9*12)-'Model Inputs'!B25)&gt;0,IF('Model Inputs'!B8&gt;0,'Model Inputs'!B7*POWER(1+'Model Inputs'!B8/12,MAX(0,MIN('Model Inputs'!B18*12,'Model Inputs'!B9*12)-'Model Inputs'!B25))-ABS(PMT('Model Inputs'!B8/12,'Model Inputs'!B10*12,'Model Inputs'!B7))*((POWER(1+'Model Inputs'!B8/12,MAX(0,MIN('Model Inputs'!B18*12,'Model Inputs'!B9*12)-'Model Inputs'!B25))-1)/('Model Inputs'!B8/12)),MAX(0,'Model Inputs'!B7-ABS(PMT('Model Inputs'!B8/12,'Model Inputs'!B10*12,'Model Inputs'!B7))*MAX(0,MIN('Model Inputs'!B18*12,'Model Inputs'!B9*12)-'Model Inputs'!B25))),'Model Inputs'!B7))), 0)</f>
        <v>163110.2596</v>
      </c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5.0" customHeight="1">
      <c r="A14" s="1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5.0" customHeight="1">
      <c r="A15" s="1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5.0" customHeight="1">
      <c r="A16" s="1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5.0" customHeight="1">
      <c r="A17" s="1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5.0" customHeight="1">
      <c r="A18" s="1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5.0" customHeight="1">
      <c r="A19" s="1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5.0" customHeight="1">
      <c r="A20" s="1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1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1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1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1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1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1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1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1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1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1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1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1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1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1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1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1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1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1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1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1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1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1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1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1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1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1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1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1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1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1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1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1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1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1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1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1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1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1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1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1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1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1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1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1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1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1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1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1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1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1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1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1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1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1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1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1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1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1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1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1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1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1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1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1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1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1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1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1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1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1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1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1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1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1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1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1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1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1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1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1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1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1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1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1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1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1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1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1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1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1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1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1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1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1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1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1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1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1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1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1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1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1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1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1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1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1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1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1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1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1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1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1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1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1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1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1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1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1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1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1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1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1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1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1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1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1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1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1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1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1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1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1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1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1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1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1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1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1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1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1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1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1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1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1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1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1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1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1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1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1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1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1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1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1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1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1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1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1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1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1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1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1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1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1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1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1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1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1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1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1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1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1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1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1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1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1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1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1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1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1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1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1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1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1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1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1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1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1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1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1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1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1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1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1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1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1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1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1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1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1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1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1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1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1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1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1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1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1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1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1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1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1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1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1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1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1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1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1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1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1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1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1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1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1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1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1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1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1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1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1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1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1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1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1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1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1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1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1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1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1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1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1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1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1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1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1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1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1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1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1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1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1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1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1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1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1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1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1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1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1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1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1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1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1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1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1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1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1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1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1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1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1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1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1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1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1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1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1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1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1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1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1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1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1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1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1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1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1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1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1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1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1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1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1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1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1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1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1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1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1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1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1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1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1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1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1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1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1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1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1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1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1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1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1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1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1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1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1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1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1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1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1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1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1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1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1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1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1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1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1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1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1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1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1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1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1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1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1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1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1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1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1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1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1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1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1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1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1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1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1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1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1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1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1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1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1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1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1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1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1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1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1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1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1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1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1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1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1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1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1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1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1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1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1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1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1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1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1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1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1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1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1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1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1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1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1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1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1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1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1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1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1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1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1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1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1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1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1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1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1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1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1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1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1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1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1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1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1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1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1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1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1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1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1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1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1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1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1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1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1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1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1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1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1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1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1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1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1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1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1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1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1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1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1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1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1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1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1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1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1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1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1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1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1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1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1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1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1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1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1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1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1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1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1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1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1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1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1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1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1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1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1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1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1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1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1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1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1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1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1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1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1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1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1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1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1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1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1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1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1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1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1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1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1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1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1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1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1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1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1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1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1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1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1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1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1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1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1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1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1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1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1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1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1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1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1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1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1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1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1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1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1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1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1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1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1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1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1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1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1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1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1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1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1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1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1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1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1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1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1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1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1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1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1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1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1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1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1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1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1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1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1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1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1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1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1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1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1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1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1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1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1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1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1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1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1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1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1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1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1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1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1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1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1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1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1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1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1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1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1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1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1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1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1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1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1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1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1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1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1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1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1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1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1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1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1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1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1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1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1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1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1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1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1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1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1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1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1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1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1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1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1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1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1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1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1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1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1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1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1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1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1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1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1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1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1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1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1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1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1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1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1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1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1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1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1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1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1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1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1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1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1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1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1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1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1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1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1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1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1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1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1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1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1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1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1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1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1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1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1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1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1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1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1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1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1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1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1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1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1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1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1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1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1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1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1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1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1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1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1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1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1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1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1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1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1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1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1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1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1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1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1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1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1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1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1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1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1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1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1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1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1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1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1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1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1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1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1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1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1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1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1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1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1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1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1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1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1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1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1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1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1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1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1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1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1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1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1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1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1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1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1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1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1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1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1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1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1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1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1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1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1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1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1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1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1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1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1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1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1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1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1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1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1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1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1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1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1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1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1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1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1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1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1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1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1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1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1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1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1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1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1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1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1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1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1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1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1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1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1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1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1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1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1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1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1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1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1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1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1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1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1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1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1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1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1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1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1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1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1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1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1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1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1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1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1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1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1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1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1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1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1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1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1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1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1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1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1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1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1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1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1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1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1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1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1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1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1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1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1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1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1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1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1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1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1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1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1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1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1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1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1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1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1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1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1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1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1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1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1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1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1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1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1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1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1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1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1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1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1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1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1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1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1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1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1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1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1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1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1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1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1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1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1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1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1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1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1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1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1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1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1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1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1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1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1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1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1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1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1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1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1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1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1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1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1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1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1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1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1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1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1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1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1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1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1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1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1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1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1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1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1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1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1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1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1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1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1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1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1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1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1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1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1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1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1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1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1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1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1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1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1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1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1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1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1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1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1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1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1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1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1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1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1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1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1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1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1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1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1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1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1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1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1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1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1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1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1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1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1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1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1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1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1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1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1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1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1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1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1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1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1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1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1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1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1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1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1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1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1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1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1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1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1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1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1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1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1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1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22.67"/>
    <col customWidth="1" min="2" max="6" width="11.22"/>
  </cols>
  <sheetData>
    <row r="1" ht="15.0" customHeight="1">
      <c r="A1" s="1" t="s">
        <v>124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5.0" customHeight="1">
      <c r="A2" s="1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0" customHeight="1">
      <c r="A3" s="3" t="s">
        <v>125</v>
      </c>
      <c r="B3" s="25" t="s">
        <v>126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5.0" customHeight="1">
      <c r="A4" s="1" t="s">
        <v>127</v>
      </c>
      <c r="B4" s="1" t="s">
        <v>128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5.0" customHeight="1">
      <c r="A5" s="1" t="s">
        <v>129</v>
      </c>
      <c r="B5" s="1">
        <v>2.0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5.0" customHeight="1">
      <c r="A6" s="1" t="s">
        <v>130</v>
      </c>
      <c r="B6" s="5">
        <v>0.0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5.0" customHeight="1">
      <c r="A7" s="1" t="s">
        <v>131</v>
      </c>
      <c r="B7" s="5">
        <v>0.0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5.0" customHeight="1">
      <c r="A8" s="1" t="s">
        <v>132</v>
      </c>
      <c r="B8" s="5">
        <v>0.0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5.0" customHeight="1">
      <c r="A9" s="1" t="s">
        <v>133</v>
      </c>
      <c r="B9" s="5">
        <v>0.0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5.0" customHeight="1">
      <c r="A10" s="1" t="s">
        <v>134</v>
      </c>
      <c r="B10" s="5">
        <v>0.0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5.0" customHeight="1">
      <c r="A11" s="1" t="s">
        <v>135</v>
      </c>
      <c r="B11" s="5">
        <v>0.0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5.0" customHeight="1">
      <c r="A12" s="1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5.0" customHeight="1">
      <c r="A13" s="1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5.0" customHeight="1">
      <c r="A14" s="1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5.0" customHeight="1">
      <c r="A15" s="1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5.0" customHeight="1">
      <c r="A16" s="1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5.0" customHeight="1">
      <c r="A17" s="1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5.0" customHeight="1">
      <c r="A18" s="1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5.0" customHeight="1">
      <c r="A19" s="1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5.0" customHeight="1">
      <c r="A20" s="1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1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1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1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1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1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1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1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1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1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1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1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1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1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1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1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1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1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1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1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1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1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1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1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1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1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1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1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1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1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1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1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1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1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1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1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1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1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1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1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1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1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1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1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1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1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1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1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1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1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1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1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1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1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1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1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1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1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1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1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1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1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1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1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1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1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1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1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1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1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1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1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1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1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1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1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1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1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1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1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1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1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1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1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1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1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1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1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1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1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1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1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1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1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1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1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1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1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1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1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1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1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1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1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1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1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1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1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1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1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1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1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1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1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1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1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1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1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1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1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1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1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1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1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1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1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1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1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1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1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1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1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1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1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1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1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1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1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1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1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1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1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1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1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1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1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1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1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1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1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1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1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1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1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1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1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1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1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1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1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1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1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1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1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1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1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1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1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1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1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1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1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1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1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1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1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1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1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1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1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1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1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1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1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1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1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1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1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1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1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1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1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1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1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1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1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1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1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1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1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1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1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1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1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1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1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1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1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1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1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1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1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1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1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1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1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1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1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1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1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1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1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1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1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1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1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1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1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1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1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1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1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1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1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1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1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1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1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1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1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1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1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1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1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1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1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1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1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1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1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1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1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1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1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1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1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1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1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1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1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1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1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1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1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1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1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1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1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1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1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1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1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1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1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1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1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1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1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1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1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1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1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1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1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1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1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1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1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1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1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1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1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1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1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1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1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1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1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1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1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1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1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1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1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1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1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1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1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1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1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1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1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1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1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1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1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1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1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1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1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1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1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1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1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1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1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1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1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1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1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1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1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1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1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1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1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1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1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1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1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1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1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1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1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1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1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1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1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1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1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1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1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1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1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1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1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1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1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1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1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1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1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1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1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1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1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1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1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1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1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1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1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1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1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1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1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1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1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1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1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1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1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1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1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1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1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1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1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1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1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1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1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1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1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1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1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1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1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1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1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1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1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1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1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1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1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1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1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1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1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1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1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1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1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1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1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1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1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1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1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1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1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1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1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1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1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1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1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1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1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1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1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1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1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1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1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1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1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1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1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1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1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1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1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1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1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1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1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1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1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1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1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1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1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1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1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1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1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1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1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1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1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1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1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1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1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1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1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1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1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1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1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1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1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1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1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1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1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1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1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1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1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1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1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1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1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1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1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1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1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1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1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1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1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1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1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1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1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1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1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1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1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1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1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1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1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1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1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1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1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1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1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1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1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1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1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1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1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1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1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1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1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1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1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1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1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1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1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1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1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1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1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1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1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1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1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1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1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1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1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1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1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1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1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1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1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1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1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1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1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1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1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1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1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1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1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1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1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1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1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1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1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1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1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1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1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1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1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1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1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1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1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1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1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1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1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1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1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1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1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1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1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1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1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1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1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1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1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1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1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1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1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1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1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1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1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1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1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1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1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1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1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1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1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1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1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1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1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1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1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1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1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1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1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1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1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1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1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1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1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1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1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1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1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1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1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1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1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1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1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1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1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1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1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1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1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1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1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1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1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1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1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1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1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1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1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1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1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1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1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1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1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1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1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1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1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1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1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1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1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1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1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1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1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1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1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1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1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1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1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1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1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1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1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1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1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1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1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1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1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1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1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1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1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1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1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1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1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1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1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1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1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1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1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1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1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1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1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1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1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1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1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1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1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1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1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1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1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1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1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1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1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1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1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1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1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1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1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1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1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1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1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1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1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1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1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1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1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1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1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1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1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1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1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1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1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1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1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1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1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1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1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1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1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1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1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1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1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1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1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1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1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1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1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1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1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1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1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1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1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1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1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1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1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1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1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1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1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1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1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1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1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1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1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1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1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1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1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1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1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1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1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1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1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1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1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1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1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1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1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1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1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1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1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1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1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1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1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1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1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1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1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1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1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1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1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1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1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1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1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1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1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1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1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1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1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1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1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1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1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1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1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1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1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1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1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1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1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1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1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1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1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1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1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1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1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1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1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1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1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1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1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1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1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1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1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1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1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1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1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1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1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1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1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1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1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1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1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1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1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1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1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1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1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1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1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1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1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1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1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1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1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1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1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1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1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1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1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1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1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1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1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1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1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1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1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1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1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1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1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1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1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1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1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1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1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1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1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1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1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1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1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1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1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1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1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1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1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1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1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1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1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1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1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1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1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1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1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1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1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1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1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1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1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1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1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1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1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1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1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1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1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1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1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1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1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1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1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1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1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1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1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1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1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1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1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1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1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1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1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1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1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1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1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1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1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1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1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1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1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1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1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1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1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1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1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1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1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1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1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1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1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1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1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1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1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1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1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1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1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22.78"/>
    <col customWidth="1" min="2" max="6" width="11.22"/>
  </cols>
  <sheetData>
    <row r="1" ht="15.0" customHeight="1">
      <c r="A1" s="1" t="s">
        <v>136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5.0" customHeight="1">
      <c r="A2" s="1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0" customHeight="1">
      <c r="A3" s="3" t="s">
        <v>125</v>
      </c>
      <c r="B3" s="25" t="s">
        <v>126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5.0" customHeight="1">
      <c r="A4" s="1" t="s">
        <v>137</v>
      </c>
      <c r="B4" s="6">
        <v>0.75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5.0" customHeight="1">
      <c r="A5" s="1" t="s">
        <v>138</v>
      </c>
      <c r="B5" s="6">
        <v>0.75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5.0" customHeight="1">
      <c r="A6" s="1" t="s">
        <v>139</v>
      </c>
      <c r="B6" s="1">
        <v>24.0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5.0" customHeight="1">
      <c r="A7" s="1" t="s">
        <v>127</v>
      </c>
      <c r="B7" s="1" t="s">
        <v>128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5.0" customHeight="1">
      <c r="A8" s="1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5.0" customHeight="1">
      <c r="A9" s="1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5.0" customHeight="1">
      <c r="A10" s="1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5.0" customHeight="1">
      <c r="A11" s="1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5.0" customHeight="1">
      <c r="A12" s="1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5.0" customHeight="1">
      <c r="A13" s="1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5.0" customHeight="1">
      <c r="A14" s="1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5.0" customHeight="1">
      <c r="A15" s="1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5.0" customHeight="1">
      <c r="A16" s="1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5.0" customHeight="1">
      <c r="A17" s="1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5.0" customHeight="1">
      <c r="A18" s="1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5.0" customHeight="1">
      <c r="A19" s="1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5.0" customHeight="1">
      <c r="A20" s="1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1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1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1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1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1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1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1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1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1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1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1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1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1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1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1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1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1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1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1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1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1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1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1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1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1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1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1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1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1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1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1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1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1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1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1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1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1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1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1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1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1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1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1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1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1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1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1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1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1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1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1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1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1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1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1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1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1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1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1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1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1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1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1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1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1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1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1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1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1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1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1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1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1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1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1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1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1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1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1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1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1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1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1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1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1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1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1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1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1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1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1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1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1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1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1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1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1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1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1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1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1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1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1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1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1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1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1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1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1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1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1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1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1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1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1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1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1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1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1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1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1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1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1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1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1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1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1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1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1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1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1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1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1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1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1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1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1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1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1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1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1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1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1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1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1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1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1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1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1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1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1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1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1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1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1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1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1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1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1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1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1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1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1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1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1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1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1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1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1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1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1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1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1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1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1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1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1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1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1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1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1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1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1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1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1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1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1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1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1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1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1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1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1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1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1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1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1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1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1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1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1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1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1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1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1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1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1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1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1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1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1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1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1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1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1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1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1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1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1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1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1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1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1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1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1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1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1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1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1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1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1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1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1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1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1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1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1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1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1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1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1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1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1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1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1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1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1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1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1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1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1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1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1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1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1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1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1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1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1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1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1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1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1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1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1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1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1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1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1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1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1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1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1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1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1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1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1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1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1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1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1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1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1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1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1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1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1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1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1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1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1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1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1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1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1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1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1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1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1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1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1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1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1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1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1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1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1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1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1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1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1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1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1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1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1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1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1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1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1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1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1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1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1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1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1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1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1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1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1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1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1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1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1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1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1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1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1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1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1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1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1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1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1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1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1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1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1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1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1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1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1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1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1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1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1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1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1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1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1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1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1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1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1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1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1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1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1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1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1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1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1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1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1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1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1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1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1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1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1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1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1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1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1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1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1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1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1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1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1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1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1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1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1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1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1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1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1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1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1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1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1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1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1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1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1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1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1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1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1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1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1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1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1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1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1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1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1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1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1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1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1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1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1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1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1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1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1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1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1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1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1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1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1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1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1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1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1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1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1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1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1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1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1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1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1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1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1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1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1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1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1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1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1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1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1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1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1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1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1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1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1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1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1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1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1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1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1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1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1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1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1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1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1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1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1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1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1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1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1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1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1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1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1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1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1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1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1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1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1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1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1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1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1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1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1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1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1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1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1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1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1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1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1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1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1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1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1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1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1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1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1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1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1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1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1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1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1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1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1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1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1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1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1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1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1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1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1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1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1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1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1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1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1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1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1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1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1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1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1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1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1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1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1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1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1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1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1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1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1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1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1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1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1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1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1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1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1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1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1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1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1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1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1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1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1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1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1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1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1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1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1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1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1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1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1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1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1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1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1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1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1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1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1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1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1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1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1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1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1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1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1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1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1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1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1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1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1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1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1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1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1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1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1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1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1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1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1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1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1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1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1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1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1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1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1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1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1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1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1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1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1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1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1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1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1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1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1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1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1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1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1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1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1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1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1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1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1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1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1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1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1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1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1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1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1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1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1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1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1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1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1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1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1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1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1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1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1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1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1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1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1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1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1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1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1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1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1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1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1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1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1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1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1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1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1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1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1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1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1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1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1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1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1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1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1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1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1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1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1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1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1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1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1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1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1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1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1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1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1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1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1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1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1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1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1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1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1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1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1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1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1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1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1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1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1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1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1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1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1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1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1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1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1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1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1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1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1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1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1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1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1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1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1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1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1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1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1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1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1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1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1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1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1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1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1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1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1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1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1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1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1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1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1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1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1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1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1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1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1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1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1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1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1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1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1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1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1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1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1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1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1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1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1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1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1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1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1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1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1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1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1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1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1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1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1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1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1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1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1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1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1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1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1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1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1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1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1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1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1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1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1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1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1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1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1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1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1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1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1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1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1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1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1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1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1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1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1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1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1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1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1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1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1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1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1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1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1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1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1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1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1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1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1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1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1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1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1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1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1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1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1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1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1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1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1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1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1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1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1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1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1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1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1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1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1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1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1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1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1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1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1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1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1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1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1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1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1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1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1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1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1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1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1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1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1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1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1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1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1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1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1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1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1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1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1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1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1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1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1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1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1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1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1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1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1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1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1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1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1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1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1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1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1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1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1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1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1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1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1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1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1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1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1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1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1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1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1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1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1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1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1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1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1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1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1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1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1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1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1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1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1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1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1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1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1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1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1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1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1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1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1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1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1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1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1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1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1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1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1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1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1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1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1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1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1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1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1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1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1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1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1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1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1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1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1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1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1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1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1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1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1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1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1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1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1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1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1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1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1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34.78"/>
    <col customWidth="1" min="2" max="6" width="11.22"/>
  </cols>
  <sheetData>
    <row r="1" ht="15.0" customHeight="1">
      <c r="A1" s="1" t="s">
        <v>140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5.0" customHeight="1">
      <c r="A2" s="1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0" customHeight="1">
      <c r="A3" s="3" t="s">
        <v>125</v>
      </c>
      <c r="B3" s="25" t="s">
        <v>126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5.0" customHeight="1">
      <c r="A4" s="1" t="s">
        <v>14</v>
      </c>
      <c r="B4" s="5">
        <v>3425000.0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5.0" customHeight="1">
      <c r="A5" s="1" t="s">
        <v>141</v>
      </c>
      <c r="B5" s="1">
        <v>32.0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5.0" customHeight="1">
      <c r="A6" s="1" t="s">
        <v>142</v>
      </c>
      <c r="B6" s="5">
        <v>4031000.0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5.0" customHeight="1">
      <c r="A7" s="1" t="s">
        <v>143</v>
      </c>
      <c r="B7" s="5">
        <v>3015750.0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5.0" customHeight="1">
      <c r="A8" s="1" t="s">
        <v>144</v>
      </c>
      <c r="B8" s="37">
        <v>0.07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5.0" customHeight="1">
      <c r="A9" s="1" t="s">
        <v>145</v>
      </c>
      <c r="B9" s="1">
        <v>2.0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5.0" customHeight="1">
      <c r="A10" s="1" t="s">
        <v>146</v>
      </c>
      <c r="B10" s="1">
        <v>30.0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5.0" customHeight="1">
      <c r="A11" s="1" t="s">
        <v>147</v>
      </c>
      <c r="B11" s="6">
        <v>0.75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5.0" customHeight="1">
      <c r="A12" s="1" t="s">
        <v>148</v>
      </c>
      <c r="B12" s="6">
        <v>0.05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5.0" customHeight="1">
      <c r="A13" s="1" t="s">
        <v>149</v>
      </c>
      <c r="B13" s="6">
        <v>0.95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5.0" customHeight="1">
      <c r="A14" s="1" t="s">
        <v>150</v>
      </c>
      <c r="B14" s="6">
        <v>0.07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5.0" customHeight="1">
      <c r="A15" s="1" t="s">
        <v>151</v>
      </c>
      <c r="B15" s="6">
        <v>0.3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5.0" customHeight="1">
      <c r="A16" s="1" t="s">
        <v>152</v>
      </c>
      <c r="B16" s="5">
        <f>Assumptions!B42</f>
        <v>212139.9331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5.0" customHeight="1">
      <c r="A17" s="1" t="s">
        <v>153</v>
      </c>
      <c r="B17" s="6">
        <v>0.032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5.0" customHeight="1">
      <c r="A18" s="1" t="s">
        <v>154</v>
      </c>
      <c r="B18" s="26">
        <v>3.0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5.0" customHeight="1">
      <c r="A19" s="1" t="s">
        <v>155</v>
      </c>
      <c r="B19" s="6">
        <v>0.0625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5.0" customHeight="1">
      <c r="A20" s="1" t="s">
        <v>156</v>
      </c>
      <c r="B20" s="6">
        <v>0.025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1" t="s">
        <v>157</v>
      </c>
      <c r="B21" s="6">
        <v>0.02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1" t="s">
        <v>158</v>
      </c>
      <c r="B22" s="6">
        <v>0.02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1" t="s">
        <v>159</v>
      </c>
      <c r="B23" s="1">
        <v>1.0</v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1" t="s">
        <v>160</v>
      </c>
      <c r="B24" s="6">
        <v>0.04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1" t="s">
        <v>139</v>
      </c>
      <c r="B25" s="1">
        <v>24.0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1" t="s">
        <v>161</v>
      </c>
      <c r="B26" s="6">
        <v>0.01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1" t="s">
        <v>138</v>
      </c>
      <c r="B27" s="6">
        <v>0.75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1" t="s">
        <v>162</v>
      </c>
      <c r="B28" s="1">
        <v>1.0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1" t="s">
        <v>129</v>
      </c>
      <c r="B29" s="1">
        <v>2.0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1" t="s">
        <v>163</v>
      </c>
      <c r="B30" s="6">
        <v>0.055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1" t="s">
        <v>164</v>
      </c>
      <c r="B31" s="1">
        <v>30.0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1" t="s">
        <v>165</v>
      </c>
      <c r="B32" s="1">
        <v>10.0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1" t="s">
        <v>166</v>
      </c>
      <c r="B33" s="6">
        <v>0.7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1" t="s">
        <v>167</v>
      </c>
      <c r="B34" s="1">
        <v>1.25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1" t="s">
        <v>168</v>
      </c>
      <c r="B35" s="6">
        <v>0.055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1" t="s">
        <v>169</v>
      </c>
      <c r="B36" s="6">
        <v>0.01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1" t="s">
        <v>127</v>
      </c>
      <c r="B37" s="1" t="s">
        <v>128</v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1" t="s">
        <v>170</v>
      </c>
      <c r="B38" s="5">
        <f>IF('Model Inputs'!B37="ltv", 'Model Inputs'!B39, IF('Model Inputs'!B37="dscr", 'Model Inputs'!B40, MIN('Model Inputs'!B39,'Model Inputs'!B40)))</f>
        <v>2519126.439</v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1" t="s">
        <v>171</v>
      </c>
      <c r="B39" s="5">
        <f>(('Model Inputs'!B16*POWER(1+'Model Inputs'!B17,'Model Inputs'!B29-1)*(1-IF('Model Inputs'!B29=1,'Model Inputs'!B21, 'Model Inputs'!B21-('Model Inputs'!B21-'Model Inputs'!B22)*MIN('Model Inputs'!B29-1,'Model Inputs'!B23)/MAX(1,'Model Inputs'!B23))))/'Model Inputs'!B35)*'Model Inputs'!B33</f>
        <v>2730634.362</v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1" t="s">
        <v>172</v>
      </c>
      <c r="B40" s="5">
        <f>((('Model Inputs'!B16*POWER(1+'Model Inputs'!B17,'Model Inputs'!B29-1)*(1-IF('Model Inputs'!B29=1,'Model Inputs'!B21, 'Model Inputs'!B21-('Model Inputs'!B21-'Model Inputs'!B22)*MIN('Model Inputs'!B29-1,'Model Inputs'!B23)/MAX(1,'Model Inputs'!B23))))/'Model Inputs'!B34)/12)*((1-POWER(1+'Model Inputs'!B30/12,-'Model Inputs'!B31*12))/('Model Inputs'!B30/12))</f>
        <v>2519126.439</v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1" t="s">
        <v>173</v>
      </c>
      <c r="B41" s="5">
        <f>IF(1&lt;='Model Inputs'!B29, MAX(0,MIN(1*12,'Model Inputs'!B25)-0*12)*('Model Inputs'!B7*'Model Inputs'!B8/12) + (12-MAX(0,MIN(1*12,'Model Inputs'!B25)-0*12))*ABS(PMT('Model Inputs'!B8/12,'Model Inputs'!B10*12,'Model Inputs'!B7)) + IF('Model Inputs'!B49=1, MAX(0, MIN(1*12, IF('Model Inputs'!B29&gt;0, 'Model Inputs'!B29*12, 99999), 'Model Inputs'!B53+'Model Inputs'!B54) - MAX(0*12, 'Model Inputs'!B53))*'Model Inputs'!B58, 0), ABS(PMT('Model Inputs'!B30/12,'Model Inputs'!B31*12,'Model Inputs'!B38))*12)</f>
        <v>211102.5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1" t="s">
        <v>174</v>
      </c>
      <c r="B42" s="5">
        <f>IF(2&lt;='Model Inputs'!B29, MAX(0,MIN(2*12,'Model Inputs'!B25)-1*12)*('Model Inputs'!B7*'Model Inputs'!B8/12) + (12-MAX(0,MIN(2*12,'Model Inputs'!B25)-1*12))*ABS(PMT('Model Inputs'!B8/12,'Model Inputs'!B10*12,'Model Inputs'!B7)) + IF('Model Inputs'!B49=1, MAX(0, MIN(2*12, IF('Model Inputs'!B29&gt;0, 'Model Inputs'!B29*12, 99999), 'Model Inputs'!B53+'Model Inputs'!B54) - MAX(1*12, 'Model Inputs'!B53))*'Model Inputs'!B58, 0), ABS(PMT('Model Inputs'!B30/12,'Model Inputs'!B31*12,'Model Inputs'!B38))*12)</f>
        <v>211102.5</v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1" t="s">
        <v>175</v>
      </c>
      <c r="B43" s="5">
        <f>IF(3&lt;='Model Inputs'!B29, MAX(0,MIN(3*12,'Model Inputs'!B25)-2*12)*('Model Inputs'!B7*'Model Inputs'!B8/12) + (12-MAX(0,MIN(3*12,'Model Inputs'!B25)-2*12))*ABS(PMT('Model Inputs'!B8/12,'Model Inputs'!B10*12,'Model Inputs'!B7)) + IF('Model Inputs'!B49=1, MAX(0, MIN(3*12, IF('Model Inputs'!B29&gt;0, 'Model Inputs'!B29*12, 99999), 'Model Inputs'!B53+'Model Inputs'!B54) - MAX(2*12, 'Model Inputs'!B53))*'Model Inputs'!B58, 0), ABS(PMT('Model Inputs'!B30/12,'Model Inputs'!B31*12,'Model Inputs'!B38))*12)</f>
        <v>171639.8742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1" t="s">
        <v>176</v>
      </c>
      <c r="B44" s="5">
        <f>IF(4&lt;='Model Inputs'!B29, MAX(0,MIN(4*12,'Model Inputs'!B25)-3*12)*('Model Inputs'!B7*'Model Inputs'!B8/12) + (12-MAX(0,MIN(4*12,'Model Inputs'!B25)-3*12))*ABS(PMT('Model Inputs'!B8/12,'Model Inputs'!B10*12,'Model Inputs'!B7)) + IF('Model Inputs'!B49=1, MAX(0, MIN(4*12, IF('Model Inputs'!B29&gt;0, 'Model Inputs'!B29*12, 99999), 'Model Inputs'!B53+'Model Inputs'!B54) - MAX(3*12, 'Model Inputs'!B53))*'Model Inputs'!B58, 0), ABS(PMT('Model Inputs'!B30/12,'Model Inputs'!B31*12,'Model Inputs'!B38))*12)</f>
        <v>171639.8742</v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1" t="s">
        <v>177</v>
      </c>
      <c r="B45" s="5">
        <f>IF(5&lt;='Model Inputs'!B29, MAX(0,MIN(5*12,'Model Inputs'!B25)-4*12)*('Model Inputs'!B7*'Model Inputs'!B8/12) + (12-MAX(0,MIN(5*12,'Model Inputs'!B25)-4*12))*ABS(PMT('Model Inputs'!B8/12,'Model Inputs'!B10*12,'Model Inputs'!B7)) + IF('Model Inputs'!B49=1, MAX(0, MIN(5*12, IF('Model Inputs'!B29&gt;0, 'Model Inputs'!B29*12, 99999), 'Model Inputs'!B53+'Model Inputs'!B54) - MAX(4*12, 'Model Inputs'!B53))*'Model Inputs'!B58, 0), ABS(PMT('Model Inputs'!B30/12,'Model Inputs'!B31*12,'Model Inputs'!B38))*12)</f>
        <v>171639.8742</v>
      </c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1" t="s">
        <v>178</v>
      </c>
      <c r="B46" s="1">
        <v>9.0</v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1" t="s">
        <v>179</v>
      </c>
      <c r="B47" s="6">
        <v>0.2</v>
      </c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1" t="s">
        <v>180</v>
      </c>
      <c r="B48" s="5">
        <f>Assumptions!B49</f>
        <v>278839.6272</v>
      </c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1" t="s">
        <v>181</v>
      </c>
      <c r="B49" s="1">
        <v>0.0</v>
      </c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1" t="s">
        <v>182</v>
      </c>
      <c r="B50" s="6">
        <v>0.0</v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1" t="s">
        <v>183</v>
      </c>
      <c r="B51" s="5">
        <v>0.0</v>
      </c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1" t="s">
        <v>184</v>
      </c>
      <c r="B52" s="6">
        <v>0.05</v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1" t="s">
        <v>185</v>
      </c>
      <c r="B53" s="1">
        <v>12.0</v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1" t="s">
        <v>186</v>
      </c>
      <c r="B54" s="1">
        <v>12.0</v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1" t="s">
        <v>187</v>
      </c>
      <c r="B55" s="1">
        <v>1.0</v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1" t="s">
        <v>188</v>
      </c>
      <c r="B56" s="5">
        <f>IF(B49=1,IF(B51&gt;0,B51,B4*B50),0)</f>
        <v>0</v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1" t="s">
        <v>189</v>
      </c>
      <c r="B57" s="5">
        <f>IF(B49=1,IF(B55=1,B56*POWER(1+B52/12,B53),B56+B56*B52/12*B53),0)</f>
        <v>0</v>
      </c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1" t="s">
        <v>190</v>
      </c>
      <c r="B58" s="5">
        <f>B57*B52/12</f>
        <v>0</v>
      </c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1" t="s">
        <v>191</v>
      </c>
      <c r="B59" s="5">
        <f>IF(AND(B49=1,B29&gt;0),IF(B29*12&lt;=B53,IF(B55=1,B56*POWER(1+B52/12,B29*12),B56+B56*B52/12*(B29*12)),B57),0)</f>
        <v>0</v>
      </c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1" t="s">
        <v>192</v>
      </c>
      <c r="B60" s="1">
        <v>1.0</v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1" t="s">
        <v>193</v>
      </c>
      <c r="B61" s="38">
        <f>IF(6&lt;='Model Inputs'!B29, MAX(0,MIN(6*12,'Model Inputs'!B25)-5*12)*('Model Inputs'!B7*'Model Inputs'!B8/12) + (12-MAX(0,MIN(6*12,'Model Inputs'!B25)-5*12))*ABS(PMT('Model Inputs'!B8/12,'Model Inputs'!B10*12,'Model Inputs'!B7)) + IF('Model Inputs'!B49=1, MAX(0, MIN(6*12, IF('Model Inputs'!B29&gt;0, 'Model Inputs'!B29*12, 99999), 'Model Inputs'!B53+'Model Inputs'!B54) - MAX(5*12, 'Model Inputs'!B53))*'Model Inputs'!B58, 0), ABS(PMT('Model Inputs'!B30/12,'Model Inputs'!B31*12,'Model Inputs'!B38))*12)</f>
        <v>171639.8742</v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1" t="s">
        <v>194</v>
      </c>
      <c r="B62" s="38">
        <f>IF(7&lt;='Model Inputs'!B29, MAX(0,MIN(7*12,'Model Inputs'!B25)-6*12)*('Model Inputs'!B7*'Model Inputs'!B8/12) + (12-MAX(0,MIN(7*12,'Model Inputs'!B25)-6*12))*ABS(PMT('Model Inputs'!B8/12,'Model Inputs'!B10*12,'Model Inputs'!B7)) + IF('Model Inputs'!B49=1, MAX(0, MIN(7*12, IF('Model Inputs'!B29&gt;0, 'Model Inputs'!B29*12, 99999), 'Model Inputs'!B53+'Model Inputs'!B54) - MAX(6*12, 'Model Inputs'!B53))*'Model Inputs'!B58, 0), ABS(PMT('Model Inputs'!B30/12,'Model Inputs'!B31*12,'Model Inputs'!B38))*12)</f>
        <v>171639.8742</v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1" t="s">
        <v>195</v>
      </c>
      <c r="B63" s="38">
        <f>IF(8&lt;='Model Inputs'!B29, MAX(0,MIN(8*12,'Model Inputs'!B25)-7*12)*('Model Inputs'!B7*'Model Inputs'!B8/12) + (12-MAX(0,MIN(8*12,'Model Inputs'!B25)-7*12))*ABS(PMT('Model Inputs'!B8/12,'Model Inputs'!B10*12,'Model Inputs'!B7)) + IF('Model Inputs'!B49=1, MAX(0, MIN(8*12, IF('Model Inputs'!B29&gt;0, 'Model Inputs'!B29*12, 99999), 'Model Inputs'!B53+'Model Inputs'!B54) - MAX(7*12, 'Model Inputs'!B53))*'Model Inputs'!B58, 0), ABS(PMT('Model Inputs'!B30/12,'Model Inputs'!B31*12,'Model Inputs'!B38))*12)</f>
        <v>171639.8742</v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1" t="s">
        <v>196</v>
      </c>
      <c r="B64" s="38">
        <f>IF(9&lt;='Model Inputs'!B29, MAX(0,MIN(9*12,'Model Inputs'!B25)-8*12)*('Model Inputs'!B7*'Model Inputs'!B8/12) + (12-MAX(0,MIN(9*12,'Model Inputs'!B25)-8*12))*ABS(PMT('Model Inputs'!B8/12,'Model Inputs'!B10*12,'Model Inputs'!B7)) + IF('Model Inputs'!B49=1, MAX(0, MIN(9*12, IF('Model Inputs'!B29&gt;0, 'Model Inputs'!B29*12, 99999), 'Model Inputs'!B53+'Model Inputs'!B54) - MAX(8*12, 'Model Inputs'!B53))*'Model Inputs'!B58, 0), ABS(PMT('Model Inputs'!B30/12,'Model Inputs'!B31*12,'Model Inputs'!B38))*12)</f>
        <v>171639.8742</v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1" t="s">
        <v>197</v>
      </c>
      <c r="B65" s="38">
        <f>IF(10&lt;='Model Inputs'!B29, MAX(0,MIN(10*12,'Model Inputs'!B25)-9*12)*('Model Inputs'!B7*'Model Inputs'!B8/12) + (12-MAX(0,MIN(10*12,'Model Inputs'!B25)-9*12))*ABS(PMT('Model Inputs'!B8/12,'Model Inputs'!B10*12,'Model Inputs'!B7)) + IF('Model Inputs'!B49=1, MAX(0, MIN(10*12, IF('Model Inputs'!B29&gt;0, 'Model Inputs'!B29*12, 99999), 'Model Inputs'!B53+'Model Inputs'!B54) - MAX(9*12, 'Model Inputs'!B53))*'Model Inputs'!B58, 0), ABS(PMT('Model Inputs'!B30/12,'Model Inputs'!B31*12,'Model Inputs'!B38))*12)</f>
        <v>171639.8742</v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1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1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1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1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1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1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1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1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1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1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1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1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1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1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1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1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1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1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1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1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1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1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1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1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1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1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1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1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1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1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1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1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1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1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1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1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1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1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1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1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1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1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1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1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1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1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1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1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1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1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1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1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1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1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1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1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1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1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1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1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1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1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1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1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1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1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1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1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1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1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1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1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1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1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1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1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1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1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1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1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1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1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1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1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1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1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1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1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1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1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1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1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1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1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1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1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1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1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1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1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1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1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1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1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1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1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1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1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1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1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1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1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1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1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1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1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1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1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1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1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1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1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1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1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1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1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1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1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1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1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1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1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1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1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1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1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1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1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1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1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1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1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1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1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1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1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1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1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1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1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1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1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1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1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1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1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1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1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1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1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1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1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1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1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1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1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1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1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1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1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1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1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1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1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1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1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1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1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1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1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1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1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1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1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1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1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1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1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1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1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1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1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1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1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1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1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1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1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1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1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1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1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1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1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1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1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1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1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1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1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1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1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1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1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1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1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1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1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1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1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1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1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1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1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1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1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1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1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1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1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1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1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1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1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1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1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1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1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1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1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1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1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1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1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1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1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1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1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1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1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1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1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1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1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1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1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1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1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1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1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1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1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1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1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1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1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1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1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1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1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1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1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1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1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1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1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1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1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1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1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1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1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1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1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1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1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1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1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1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1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1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1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1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1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1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1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1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1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1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1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1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1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1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1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1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1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1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1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1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1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1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1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1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1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1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1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1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1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1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1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1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1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1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1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1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1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1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1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1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1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1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1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1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1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1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1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1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1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1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1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1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1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1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1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1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1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1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1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1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1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1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1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1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1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1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1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1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1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1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1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1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1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1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1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1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1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1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1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1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1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1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1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1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1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1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1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1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1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1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1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1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1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1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1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1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1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1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1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1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1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1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1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1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1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1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1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1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1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1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1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1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1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1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1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1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1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1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1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1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1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1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1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1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1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1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1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1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1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1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1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1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1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1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1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1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1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1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1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1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1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1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1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1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1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1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1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1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1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1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1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1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1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1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1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1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1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1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1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1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1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1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1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1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1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1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1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1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1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1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1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1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1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1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1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1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1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1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1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1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1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1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1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1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1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1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1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1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1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1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1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1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1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1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1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1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1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1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1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1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1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1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1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1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1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1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1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1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1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1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1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1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1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1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1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1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1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1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1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1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1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1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1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1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1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1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1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1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1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1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1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1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1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1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1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1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1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1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1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1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1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1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1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1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1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1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1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1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1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1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1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1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1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1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1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1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1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1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1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1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1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1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1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1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1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1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1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1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1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1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1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1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1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1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1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1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1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1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1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1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1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1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1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1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1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1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1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1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1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1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1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1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1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1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1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1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1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1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1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1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1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1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1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1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1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1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1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1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1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1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1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1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1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1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1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1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1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1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1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1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1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1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1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1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1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1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1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1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1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1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1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1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1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1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1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1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1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1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1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1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1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1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1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1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1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1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1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1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1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1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1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1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1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1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1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1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1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1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1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1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1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1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1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1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1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1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1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1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1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1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1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1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1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1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1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1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1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1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1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1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1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1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1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1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1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1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1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1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1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1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1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1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1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1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1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1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1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1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1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1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1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1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1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1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1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1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1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1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1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1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1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1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1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1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1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1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1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1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1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1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1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1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1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1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1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1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1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1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1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1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1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1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1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1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1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1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1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1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1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1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1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1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1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1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1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1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1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1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1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1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1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1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1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1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1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1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1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1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1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1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1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1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1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1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1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1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1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1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1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1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1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1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1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1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1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1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1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1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1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1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1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1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1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1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1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1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1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1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1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1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1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1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1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1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1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1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1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1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1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1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1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1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1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1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1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1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1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1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1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1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1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1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1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1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1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1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1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1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1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1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1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1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1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1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1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1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1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1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1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1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1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1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1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1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1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1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1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1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1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1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1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1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1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1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1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1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1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1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1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1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1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1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1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1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1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1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1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1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1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1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1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1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1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1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1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1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1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1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1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1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1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1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1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1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1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1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1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1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1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1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1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1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1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1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1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1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1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1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1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1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1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1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1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1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1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1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1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1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1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1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1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1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1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1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1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1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1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1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1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1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1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1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1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1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1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1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1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1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1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1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1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1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1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1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1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1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1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1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1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1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1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1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1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1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1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1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1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1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1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1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1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1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1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1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1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1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/>
  <pageMargins bottom="1.0" footer="0.0" header="0.0" left="0.75" right="0.75" top="1.0"/>
  <pageSetup paperSize="9" orientation="portrait"/>
  <drawing r:id="rId1"/>
</worksheet>
</file>