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 Summary" sheetId="1" r:id="rId4"/>
    <sheet state="visible" name="Assumptions" sheetId="2" r:id="rId5"/>
    <sheet state="visible" name="Capital Stack" sheetId="3" r:id="rId6"/>
    <sheet state="visible" name="Cash Flow" sheetId="4" r:id="rId7"/>
    <sheet state="visible" name="Refinance" sheetId="5" r:id="rId8"/>
    <sheet state="visible" name="Notes" sheetId="6" r:id="rId9"/>
    <sheet state="visible" name="Model Inputs" sheetId="7" r:id="rId10"/>
  </sheets>
  <definedNames/>
  <calcPr/>
</workbook>
</file>

<file path=xl/sharedStrings.xml><?xml version="1.0" encoding="utf-8"?>
<sst xmlns="http://schemas.openxmlformats.org/spreadsheetml/2006/main" count="206" uniqueCount="192">
  <si>
    <t>Multi-Family Investment Pro Forma</t>
  </si>
  <si>
    <t>Property Name:</t>
  </si>
  <si>
    <t>Weinland Park Summit Portfolio</t>
  </si>
  <si>
    <t>Date:</t>
  </si>
  <si>
    <t>10/29/2025</t>
  </si>
  <si>
    <t>PROPERTY OVERVIEW</t>
  </si>
  <si>
    <t>Total Units:</t>
  </si>
  <si>
    <t>Acquisition Price:</t>
  </si>
  <si>
    <t>Price per Unit:</t>
  </si>
  <si>
    <t>Total Project Cost:</t>
  </si>
  <si>
    <t>Equity Required:</t>
  </si>
  <si>
    <t>Debt Amount:</t>
  </si>
  <si>
    <t>LTC Ratio:</t>
  </si>
  <si>
    <t>ACQUISITION &amp; DEVELOPMENT COSTS</t>
  </si>
  <si>
    <t>Purchase Price</t>
  </si>
  <si>
    <t xml:space="preserve">  Contract Purchase Price</t>
  </si>
  <si>
    <t xml:space="preserve">  Units</t>
  </si>
  <si>
    <t xml:space="preserve">  Price per Unit</t>
  </si>
  <si>
    <t>Purchase Price Subtotal</t>
  </si>
  <si>
    <t>Closing Costs</t>
  </si>
  <si>
    <t xml:space="preserve">  Title &amp; Escrow</t>
  </si>
  <si>
    <t xml:space="preserve">  Legal Fees</t>
  </si>
  <si>
    <t xml:space="preserve">  Due Diligence</t>
  </si>
  <si>
    <t xml:space="preserve">  Loan Fees</t>
  </si>
  <si>
    <t xml:space="preserve">  Other Closing Costs</t>
  </si>
  <si>
    <t>Closing Costs Subtotal</t>
  </si>
  <si>
    <t>Hard Costs</t>
  </si>
  <si>
    <t xml:space="preserve">  Renovations/CapEx</t>
  </si>
  <si>
    <t xml:space="preserve">  Construction/Development</t>
  </si>
  <si>
    <t>-</t>
  </si>
  <si>
    <t xml:space="preserve">  FF&amp;E</t>
  </si>
  <si>
    <t>Hard Costs Subtotal</t>
  </si>
  <si>
    <t>Soft Costs</t>
  </si>
  <si>
    <t xml:space="preserve">  Architecture/Engineering</t>
  </si>
  <si>
    <t xml:space="preserve">  GP Sponsor Acquisition Fee</t>
  </si>
  <si>
    <t xml:space="preserve">  Marketing/Leasing</t>
  </si>
  <si>
    <t xml:space="preserve">  Contingency (5%)</t>
  </si>
  <si>
    <t>Soft Costs Subtotal</t>
  </si>
  <si>
    <t>TOTAL PROJECT COST</t>
  </si>
  <si>
    <t>Note: GP Sponsor Acquisition Fee covers general partner acquisition services and development liaison responsibilities.</t>
  </si>
  <si>
    <t>KEY METRICS</t>
  </si>
  <si>
    <t>Cash-on-Cash Return:</t>
  </si>
  <si>
    <t>Levered IRR:</t>
  </si>
  <si>
    <t>Equity Multiple:</t>
  </si>
  <si>
    <t>DSCR (Year 1):</t>
  </si>
  <si>
    <t>Avg DSCR (Hold):</t>
  </si>
  <si>
    <t>LENDER UNDERWRITING</t>
  </si>
  <si>
    <t>DSCR Day-1 (Ramped):</t>
  </si>
  <si>
    <t>DSCR Stabilized:</t>
  </si>
  <si>
    <t>Debt Yield Day-1:</t>
  </si>
  <si>
    <t>Debt Yield Stabilized:</t>
  </si>
  <si>
    <t>Suggested IO Months:</t>
  </si>
  <si>
    <t>Interest Reserve (est.):</t>
  </si>
  <si>
    <t>KEY ASSUMPTIONS &amp; CALCULATIONS</t>
  </si>
  <si>
    <t>REVENUE ASSUMPTIONS</t>
  </si>
  <si>
    <t>Average Monthly Rent (Per Unit):</t>
  </si>
  <si>
    <t>Occupancy Rate:</t>
  </si>
  <si>
    <t>Units:</t>
  </si>
  <si>
    <t>Annual Rent Growth:</t>
  </si>
  <si>
    <t>Other Income (Monthly):</t>
  </si>
  <si>
    <t>Delinquency Y1:</t>
  </si>
  <si>
    <t>Delinquency Y2+ (Stabilized):</t>
  </si>
  <si>
    <t>Delinquency Ramp Years:</t>
  </si>
  <si>
    <t>OPERATING EXPENSES</t>
  </si>
  <si>
    <t>Property Taxes:</t>
  </si>
  <si>
    <t>Insurance:</t>
  </si>
  <si>
    <t>Utilities:</t>
  </si>
  <si>
    <t>Repairs &amp; Maintenance:</t>
  </si>
  <si>
    <t>Management Fee:</t>
  </si>
  <si>
    <t>Other Expenses:</t>
  </si>
  <si>
    <t>RESERVES (Per Unit)</t>
  </si>
  <si>
    <t>Annual CapEx ($/Unit):</t>
  </si>
  <si>
    <t>Leasing Costs ($/Unit):</t>
  </si>
  <si>
    <t>TI Allowance ($/Unit):</t>
  </si>
  <si>
    <t>KEY RESULTS</t>
  </si>
  <si>
    <t>Gross Rental Income:</t>
  </si>
  <si>
    <t>Effective Gross Income:</t>
  </si>
  <si>
    <t>YEAR 1 (WITH RAMP)</t>
  </si>
  <si>
    <t>Year 1 EGI:</t>
  </si>
  <si>
    <t>Year 1 Management Fee:</t>
  </si>
  <si>
    <t>Year 1 Total OpEx:</t>
  </si>
  <si>
    <t>Year 1 NOI:</t>
  </si>
  <si>
    <t>Year 1 Expense Ratio:</t>
  </si>
  <si>
    <t>STABILIZED (YEAR 2+)</t>
  </si>
  <si>
    <t>Stabilized EGI:</t>
  </si>
  <si>
    <t>Stabilized Management Fee:</t>
  </si>
  <si>
    <t>Stabilized Total OpEx:</t>
  </si>
  <si>
    <t>Stabilized NOI:</t>
  </si>
  <si>
    <t>Stabilized Expense Ratio:</t>
  </si>
  <si>
    <t>CAPITAL STACK</t>
  </si>
  <si>
    <t>Source</t>
  </si>
  <si>
    <t>Amount</t>
  </si>
  <si>
    <t>% of Total</t>
  </si>
  <si>
    <t>Cost/Return</t>
  </si>
  <si>
    <t>Senior Debt</t>
  </si>
  <si>
    <t>Seller Note</t>
  </si>
  <si>
    <t>LP Equity</t>
  </si>
  <si>
    <t>GP Equity</t>
  </si>
  <si>
    <t>Residual</t>
  </si>
  <si>
    <t>Total</t>
  </si>
  <si>
    <t>5-YEAR CASH FLOW PROJECTION</t>
  </si>
  <si>
    <t>Total CF</t>
  </si>
  <si>
    <t>Year</t>
  </si>
  <si>
    <t>NOI</t>
  </si>
  <si>
    <t>Debt Service</t>
  </si>
  <si>
    <t>Reserves</t>
  </si>
  <si>
    <t>Before-Tax CF</t>
  </si>
  <si>
    <t>Cash-on-Cash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</si>
  <si>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</si>
  <si>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</si>
  <si>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</si>
  <si>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</si>
  <si>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</si>
  <si>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</si>
  <si>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</si>
  <si>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</si>
  <si>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</si>
  <si>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</si>
  <si>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REFINANCE SUMMARY</t>
  </si>
  <si>
    <t>Input Field</t>
  </si>
  <si>
    <t>Value</t>
  </si>
  <si>
    <t>Sizing Method</t>
  </si>
  <si>
    <t>lesser</t>
  </si>
  <si>
    <t>Refi Year</t>
  </si>
  <si>
    <t>Perm Loan Amount</t>
  </si>
  <si>
    <t>Net Refi Proceeds</t>
  </si>
  <si>
    <t>Value at Refi</t>
  </si>
  <si>
    <t>Bridge Payoff</t>
  </si>
  <si>
    <t>Seller Note Payoff</t>
  </si>
  <si>
    <t>Perm Points/Fees</t>
  </si>
  <si>
    <t>NOTES</t>
  </si>
  <si>
    <t>Bridge LTV</t>
  </si>
  <si>
    <t>Bridge LTC</t>
  </si>
  <si>
    <t>Bridge IO Months</t>
  </si>
  <si>
    <t>ALL MODEL INPUTS - FOR RELOADING</t>
  </si>
  <si>
    <t>Units</t>
  </si>
  <si>
    <t>Total Project Cost</t>
  </si>
  <si>
    <t>Loan Amount</t>
  </si>
  <si>
    <t>Interest Rate</t>
  </si>
  <si>
    <t>Loan Term</t>
  </si>
  <si>
    <t>Amortization</t>
  </si>
  <si>
    <t>LTV</t>
  </si>
  <si>
    <t>GP Investment %</t>
  </si>
  <si>
    <t>LP Investment %</t>
  </si>
  <si>
    <t>Preferred Return</t>
  </si>
  <si>
    <t>GP Promote</t>
  </si>
  <si>
    <t>Year 1 NOI</t>
  </si>
  <si>
    <t>NOI Growth Rate</t>
  </si>
  <si>
    <t>Hold Period</t>
  </si>
  <si>
    <t>Exit Cap Rate</t>
  </si>
  <si>
    <t>Selling Costs</t>
  </si>
  <si>
    <t>Delinquency Y1</t>
  </si>
  <si>
    <t>Delinquency Y2+ (Stabilized)</t>
  </si>
  <si>
    <t>Delinquency Ramp Years</t>
  </si>
  <si>
    <t>Management Fee % of EGI</t>
  </si>
  <si>
    <t>Bridge Points</t>
  </si>
  <si>
    <t>Auto-size to LTC</t>
  </si>
  <si>
    <t>Perm Rate</t>
  </si>
  <si>
    <t>Perm Amort (yrs)</t>
  </si>
  <si>
    <t>Perm Term (yrs)</t>
  </si>
  <si>
    <t>Perm LTV</t>
  </si>
  <si>
    <t>Perm DSCR</t>
  </si>
  <si>
    <t>Refi Cap Rate</t>
  </si>
  <si>
    <t>Perm Points</t>
  </si>
  <si>
    <t>Perm Loan Sized (PV)</t>
  </si>
  <si>
    <t>Perm Loan LTV</t>
  </si>
  <si>
    <t>Perm Loan DSCR</t>
  </si>
  <si>
    <t>Debt Service Year 1</t>
  </si>
  <si>
    <t>Debt Service Year 2</t>
  </si>
  <si>
    <t>Debt Service Year 3</t>
  </si>
  <si>
    <t>Debt Service Year 4</t>
  </si>
  <si>
    <t>Debt Service Year 5</t>
  </si>
  <si>
    <t>Y1 Ramp Months</t>
  </si>
  <si>
    <t>Y1 Ramp Discount</t>
  </si>
  <si>
    <t>Year 2 NOI (Stabilized)</t>
  </si>
  <si>
    <t>Seller Note Enabled</t>
  </si>
  <si>
    <t>Seller Note % of Purchase</t>
  </si>
  <si>
    <t>Seller Note Fixed Amount</t>
  </si>
  <si>
    <t>Seller Interest Rate</t>
  </si>
  <si>
    <t>Seller Accrual Months</t>
  </si>
  <si>
    <t>Seller Payment Months</t>
  </si>
  <si>
    <t>Seller Compounding (1=yes)</t>
  </si>
  <si>
    <t>Seller Principal</t>
  </si>
  <si>
    <t>Seller Balance After Accrual</t>
  </si>
  <si>
    <t>Seller Monthly IO</t>
  </si>
  <si>
    <t>Seller Payoff at Refi</t>
  </si>
  <si>
    <t>Year 2 Sale Instead of Refi</t>
  </si>
  <si>
    <t>Debt Service Year 6</t>
  </si>
  <si>
    <t>Debt Service Year 7</t>
  </si>
  <si>
    <t>Debt Service Year 8</t>
  </si>
  <si>
    <t>Debt Service Year 9</t>
  </si>
  <si>
    <t>Debt Service Year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</si>
</sst>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\$#,##0"/>
    <numFmt numFmtId="165" formatCode="0.00\x"/>
    <numFmt numFmtId="166" formatCode="[$$-409]#,##0.00;[RED]\-[$$-409]#,##0.00"/>
    <numFmt numFmtId="167" formatCode="&quot;$&quot;#,##0.00"/>
  </numFmts>
  <fonts count="11">
    <font>
      <sz val="12.0"/>
      <color theme="1"/>
      <name val="Calibri"/>
      <scheme val="minor"/>
    </font>
    <font>
      <sz val="11.0"/>
      <color theme="1"/>
      <name val="Cambria"/>
    </font>
    <font>
      <b/>
      <sz val="11.0"/>
      <color rgb="FFFFFFFF"/>
      <name val="Cambria"/>
    </font>
    <font>
      <b/>
      <sz val="11.0"/>
      <color theme="1"/>
      <name val="Cambria"/>
    </font>
    <font>
      <sz val="11.0"/>
      <color rgb="FF0000FF"/>
      <name val="Cambria"/>
    </font>
    <font>
      <i/>
      <sz val="11.0"/>
      <color theme="1"/>
      <name val="Cambria"/>
    </font>
    <font>
      <sz val="11.0"/>
      <color rgb="FF008000"/>
      <name val="Cambria"/>
    </font>
    <font>
      <sz val="11.0"/>
      <color rgb="FFFFFFFF"/>
      <name val="Cambria"/>
    </font>
    <font>
      <b/>
      <sz val="11.0"/>
      <color rgb="FFFF0000"/>
      <name val="Cambria"/>
    </font>
    <font>
      <b/>
      <sz val="11.0"/>
      <color rgb="FF0000FF"/>
      <name val="Cambria"/>
    </font>
    <font>
      <b/>
      <sz val="11.0"/>
      <color rgb="FF008000"/>
      <name val="Cambria"/>
    </font>
  </fonts>
  <fills count="4">
    <fill>
      <patternFill patternType="none"/>
    </fill>
    <fill>
      <patternFill patternType="lightGray"/>
    </fill>
    <fill>
      <patternFill patternType="solid">
        <fgColor rgb="FF366092"/>
        <bgColor rgb="FF366092"/>
      </patternFill>
    </fill>
    <fill>
      <patternFill patternType="solid">
        <fgColor rgb="FFD9D9D9"/>
        <bgColor rgb="FFD9D9D9"/>
      </patternFill>
    </fill>
  </fills>
  <borders count="8">
    <border/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1" numFmtId="10" xfId="0" applyAlignment="1" applyFont="1" applyNumberFormat="1">
      <alignment shrinkToFit="0" vertical="bottom" wrapText="0"/>
    </xf>
    <xf borderId="3" fillId="0" fontId="3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shrinkToFit="0" vertical="bottom" wrapText="0"/>
    </xf>
    <xf borderId="5" fillId="2" fontId="2" numFmtId="0" xfId="0" applyAlignment="1" applyBorder="1" applyFont="1">
      <alignment shrinkToFit="0" vertical="bottom" wrapText="0"/>
    </xf>
    <xf borderId="5" fillId="2" fontId="1" numFmtId="10" xfId="0" applyAlignment="1" applyBorder="1" applyFont="1" applyNumberFormat="1">
      <alignment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5" fillId="2" fontId="1" numFmtId="165" xfId="0" applyAlignment="1" applyBorder="1" applyFont="1" applyNumberForma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0" fontId="4" numFmtId="164" xfId="0" applyAlignment="1" applyFont="1" applyNumberFormat="1">
      <alignment horizontal="right" shrinkToFit="0" vertical="bottom" wrapText="0"/>
    </xf>
    <xf borderId="5" fillId="3" fontId="3" numFmtId="0" xfId="0" applyAlignment="1" applyBorder="1" applyFill="1" applyFont="1">
      <alignment shrinkToFit="0" vertical="bottom" wrapText="0"/>
    </xf>
    <xf borderId="5" fillId="3" fontId="3" numFmtId="164" xfId="0" applyAlignment="1" applyBorder="1" applyFont="1" applyNumberFormat="1">
      <alignment shrinkToFit="0" vertical="bottom" wrapText="0"/>
    </xf>
    <xf borderId="0" fillId="0" fontId="5" numFmtId="0" xfId="0" applyAlignment="1" applyFont="1">
      <alignment shrinkToFit="0" vertical="bottom" wrapText="1"/>
    </xf>
    <xf borderId="0" fillId="0" fontId="4" numFmtId="10" xfId="0" applyAlignment="1" applyFont="1" applyNumberFormat="1">
      <alignment shrinkToFit="0" vertical="bottom" wrapText="0"/>
    </xf>
    <xf borderId="0" fillId="0" fontId="1" numFmtId="2" xfId="0" applyAlignment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2" fillId="2" fontId="2" numFmtId="0" xfId="0" applyAlignment="1" applyBorder="1" applyFon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2" fillId="2" fontId="7" numFmtId="0" xfId="0" applyAlignment="1" applyBorder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164" xfId="0" applyAlignment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  <xf borderId="6" fillId="2" fontId="2" numFmtId="0" xfId="0" applyAlignment="1" applyBorder="1" applyFont="1">
      <alignment shrinkToFit="0" vertical="bottom" wrapText="0"/>
    </xf>
    <xf borderId="7" fillId="2" fontId="2" numFmtId="0" xfId="0" applyAlignment="1" applyBorder="1" applyFon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1" numFmtId="167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5.44"/>
    <col customWidth="1" min="2" max="2" width="15.0"/>
    <col customWidth="1" min="3" max="6" width="11.22"/>
  </cols>
  <sheetData>
    <row r="1" ht="15.0" customHeight="1">
      <c r="A1" s="1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 t="s">
        <v>1</v>
      </c>
      <c r="B2" s="1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1" t="s">
        <v>3</v>
      </c>
      <c r="B3" s="1" t="s">
        <v>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/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3" t="s">
        <v>5</v>
      </c>
      <c r="B5" s="4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6</v>
      </c>
      <c r="B6" s="1">
        <f>'Model Inputs'!B5</f>
        <v>32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7</v>
      </c>
      <c r="B7" s="5">
        <f>'Model Inputs'!B4</f>
        <v>3425000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8</v>
      </c>
      <c r="B8" s="5">
        <f>B7/B6</f>
        <v>107031.25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9</v>
      </c>
      <c r="B9" s="5">
        <f>'Model Inputs'!B6</f>
        <v>4031000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10</v>
      </c>
      <c r="B10" s="5">
        <f>'Capital Stack'!B6+'Capital Stack'!B7</f>
        <v>1015250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11</v>
      </c>
      <c r="B11" s="5">
        <f>'Model Inputs'!B7</f>
        <v>3015750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 t="s">
        <v>12</v>
      </c>
      <c r="B12" s="6">
        <f>IF(B9&gt;0,B11/B9,0)</f>
        <v>0.7481394195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1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7" t="s">
        <v>13</v>
      </c>
      <c r="B14" s="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9" t="s">
        <v>14</v>
      </c>
      <c r="B16" s="10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 t="s">
        <v>15</v>
      </c>
      <c r="B17" s="11">
        <v>3425000.0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 t="s">
        <v>16</v>
      </c>
      <c r="B18" s="12">
        <v>32.0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 t="s">
        <v>17</v>
      </c>
      <c r="B19" s="5">
        <f>B17/B18</f>
        <v>107031.25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3" t="s">
        <v>18</v>
      </c>
      <c r="B20" s="14">
        <f>B17</f>
        <v>3425000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15"/>
      <c r="B21" s="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9" t="s">
        <v>19</v>
      </c>
      <c r="B22" s="1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 t="s">
        <v>20</v>
      </c>
      <c r="B23" s="11">
        <v>15000.0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 t="s">
        <v>21</v>
      </c>
      <c r="B24" s="11">
        <v>10000.0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 t="s">
        <v>22</v>
      </c>
      <c r="B25" s="11">
        <v>15000.0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 t="s">
        <v>23</v>
      </c>
      <c r="B26" s="11">
        <v>20000.0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 t="s">
        <v>24</v>
      </c>
      <c r="B27" s="11">
        <v>5000.0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3" t="s">
        <v>25</v>
      </c>
      <c r="B28" s="14">
        <f>SUM(B23:B27)</f>
        <v>65000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1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9" t="s">
        <v>26</v>
      </c>
      <c r="B30" s="1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 t="s">
        <v>27</v>
      </c>
      <c r="B31" s="11">
        <v>300000.0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 t="s">
        <v>28</v>
      </c>
      <c r="B32" s="18" t="s">
        <v>29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 t="s">
        <v>30</v>
      </c>
      <c r="B33" s="11">
        <v>120000.0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3" t="s">
        <v>31</v>
      </c>
      <c r="B34" s="14">
        <f>SUM(B31:B33)</f>
        <v>420000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9" t="s">
        <v>32</v>
      </c>
      <c r="B36" s="1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 t="s">
        <v>33</v>
      </c>
      <c r="B37" s="11">
        <v>5000.0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 t="s">
        <v>34</v>
      </c>
      <c r="B38" s="11">
        <v>100000.0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 t="s">
        <v>35</v>
      </c>
      <c r="B39" s="18" t="s">
        <v>29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 t="s">
        <v>36</v>
      </c>
      <c r="B40" s="11">
        <v>16000.0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3" t="s">
        <v>37</v>
      </c>
      <c r="B41" s="14">
        <f>SUM(B37:B40)</f>
        <v>121000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9" t="s">
        <v>38</v>
      </c>
      <c r="B43" s="20">
        <f>B20+B28+B34+B41</f>
        <v>4031000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31.5" customHeight="1">
      <c r="A45" s="21" t="s">
        <v>39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1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1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3" t="s">
        <v>40</v>
      </c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 t="s">
        <v>41</v>
      </c>
      <c r="B49" s="6">
        <f t="array" ref="B49">AVERAGE('Cash Flow'!F4:INDEX('Cash Flow'!F:F,3+'Model Inputs'!B18))</f>
        <v>0.02430238857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 t="s">
        <v>42</v>
      </c>
      <c r="B50" s="22">
        <f t="array" ref="B50">IRR('Cash Flow'!H3:INDEX('Cash Flow'!H:H,3+'Model Inputs'!B18))</f>
        <v>0.2639103224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 t="s">
        <v>43</v>
      </c>
      <c r="B51" s="23">
        <f t="array" ref="B51">IF(ABS('Cash Flow'!H3)&gt;0, SUM('Cash Flow'!H4:INDEX('Cash Flow'!H:H,3+'Model Inputs'!B18))/ABS('Cash Flow'!H3), 0)</f>
        <v>1.600026003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 t="s">
        <v>44</v>
      </c>
      <c r="B52" s="23">
        <f>IF('Cash Flow'!C4&gt;0, 'Cash Flow'!B4/'Cash Flow'!C4, 0)</f>
        <v>1.067097737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 t="s">
        <v>45</v>
      </c>
      <c r="B53" s="23">
        <f t="array" ref="B53">AVERAGE(IFERROR('Cash Flow'!B4:INDEX('Cash Flow'!B:B,3+'Model Inputs'!B18)/'Cash Flow'!C4:INDEX('Cash Flow'!C:C,3+'Model Inputs'!B18),0))</f>
        <v>1.23056572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3" t="s">
        <v>46</v>
      </c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 t="s">
        <v>47</v>
      </c>
      <c r="B56" s="23">
        <f>IF('Cash Flow'!C4&gt;0, 'Cash Flow'!B4/'Cash Flow'!C4, 0)</f>
        <v>1.067097737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 t="s">
        <v>48</v>
      </c>
      <c r="B57" s="23">
        <f t="array" ref="B57">IF(INDEX('Model Inputs'!B41:B45,2)&gt;0, IF('Model Inputs'!B48&gt;0,'Model Inputs'!B48, 'Model Inputs'!B16*(1+'Model Inputs'!B17)*(1-('Model Inputs'!B21-('Model Inputs'!B21-'Model Inputs'!B22)*MIN(1,'Model Inputs'!B23)/MAX(1,'Model Inputs'!B23)))) / INDEX('Model Inputs'!B41:B45,2), 0)</f>
        <v>1.394033704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 t="s">
        <v>49</v>
      </c>
      <c r="B58" s="6">
        <f>IF('Model Inputs'!B7&gt;0, 'Cash Flow'!B4/'Model Inputs'!B7, 0)</f>
        <v>0.07469684158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 t="s">
        <v>50</v>
      </c>
      <c r="B59" s="6">
        <f>IF('Model Inputs'!B7&gt;0, IF('Model Inputs'!B48&gt;0,'Model Inputs'!B48, 'Model Inputs'!B16*(1+'Model Inputs'!B17)*(1-('Model Inputs'!B21-('Model Inputs'!B21-'Model Inputs'!B22)*MIN(1,'Model Inputs'!B23)/MAX(1,'Model Inputs'!B23)))) / 'Model Inputs'!B7, 0)</f>
        <v>0.09758235928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 t="s">
        <v>51</v>
      </c>
      <c r="B60" s="24">
        <f>IF('Model Inputs'!B7&gt;0, IF(('Cash Flow'!B4/12/1.2)&gt;=ABS(PMT('Model Inputs'!B8/12,'Model Inputs'!B10*12,'Model Inputs'!B7)), 0, MIN(24, ROUNDUP(12*(ABS(PMT('Model Inputs'!B8/12,'Model Inputs'!B10*12,'Model Inputs'!B7)) - ('Cash Flow'!B4/12/1.2)) / (ABS(PMT('Model Inputs'!B8/12,'Model Inputs'!B10*12,'Model Inputs'!B7)) - ('Model Inputs'!B7*'Model Inputs'!B8/12)), 0))), 0)</f>
        <v>22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 t="s">
        <v>52</v>
      </c>
      <c r="B61" s="5">
        <f>MAX(0, B60 * MAX(0, ('Model Inputs'!B7*'Model Inputs'!B8/12) - ('Cash Flow'!B4/12/1.2)))</f>
        <v>42863.33333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45:B4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4.78"/>
    <col customWidth="1" min="2" max="6" width="11.22"/>
  </cols>
  <sheetData>
    <row r="1" ht="15.0" customHeight="1">
      <c r="A1" s="1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54</v>
      </c>
      <c r="B3" s="2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55</v>
      </c>
      <c r="B4" s="1">
        <v>1250.0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56</v>
      </c>
      <c r="B5" s="6">
        <v>0.95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57</v>
      </c>
      <c r="B6" s="1">
        <v>32.0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58</v>
      </c>
      <c r="B7" s="6">
        <v>0.032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59</v>
      </c>
      <c r="B8" s="1">
        <v>2700.0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60</v>
      </c>
      <c r="B9" s="6">
        <v>0.02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61</v>
      </c>
      <c r="B10" s="6">
        <v>0.02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62</v>
      </c>
      <c r="B11" s="1">
        <v>1.0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3" t="s">
        <v>63</v>
      </c>
      <c r="B13" s="25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 t="s">
        <v>64</v>
      </c>
      <c r="B14" s="5">
        <v>61325.0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 t="s">
        <v>65</v>
      </c>
      <c r="B15" s="5">
        <v>22500.0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 t="s">
        <v>66</v>
      </c>
      <c r="B16" s="5">
        <v>18000.0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 t="s">
        <v>67</v>
      </c>
      <c r="B17" s="5">
        <v>45000.0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 t="s">
        <v>68</v>
      </c>
      <c r="B18" s="26">
        <f>B28*'Model Inputs'!B24</f>
        <v>19171.2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 t="s">
        <v>69</v>
      </c>
      <c r="B19" s="5">
        <v>19000.0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" t="s">
        <v>70</v>
      </c>
      <c r="B21" s="2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 t="s">
        <v>71</v>
      </c>
      <c r="B22" s="5">
        <v>350.0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 t="s">
        <v>72</v>
      </c>
      <c r="B23" s="5">
        <v>400.0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 t="s">
        <v>73</v>
      </c>
      <c r="B24" s="5">
        <v>0.0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" t="s">
        <v>74</v>
      </c>
      <c r="B26" s="2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 t="s">
        <v>75</v>
      </c>
      <c r="B27" s="5">
        <f>B4*B6*12</f>
        <v>480000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8" t="s">
        <v>76</v>
      </c>
      <c r="B28" s="5">
        <f>B27*B5*(1-B9)+(B8*12)</f>
        <v>479280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5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3" t="s">
        <v>74</v>
      </c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5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8" t="s">
        <v>77</v>
      </c>
      <c r="B32" s="2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 t="s">
        <v>78</v>
      </c>
      <c r="B33" s="5">
        <f>B28*((12-'Model Inputs'!B46+'Model Inputs'!B46*(1-'Model Inputs'!B47))/12)</f>
        <v>407388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 t="s">
        <v>79</v>
      </c>
      <c r="B34" s="5">
        <f>B33*'Model Inputs'!B24</f>
        <v>16295.52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0" t="s">
        <v>80</v>
      </c>
      <c r="B35" s="5">
        <f>B14+B15+B16+B17+B34+B19</f>
        <v>182120.52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 t="s">
        <v>81</v>
      </c>
      <c r="B36" s="29">
        <f>B33-B35</f>
        <v>225267.48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 t="s">
        <v>82</v>
      </c>
      <c r="B37" s="6">
        <f>B35/B33</f>
        <v>0.4470443901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5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0" t="s">
        <v>83</v>
      </c>
      <c r="B39" s="2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 t="s">
        <v>84</v>
      </c>
      <c r="B40" s="5">
        <f>B28</f>
        <v>479280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 t="s">
        <v>85</v>
      </c>
      <c r="B41" s="5">
        <f>B18</f>
        <v>19171.2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 t="s">
        <v>86</v>
      </c>
      <c r="B42" s="5">
        <f>B14+B15+B16+B17+B18+B19</f>
        <v>184996.2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 t="s">
        <v>87</v>
      </c>
      <c r="B43" s="29">
        <f>B40-B42</f>
        <v>294283.8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 t="s">
        <v>88</v>
      </c>
      <c r="B44" s="6">
        <f>B42/B40</f>
        <v>0.3859877316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78"/>
    <col customWidth="1" min="2" max="6" width="11.22"/>
  </cols>
  <sheetData>
    <row r="1" ht="15.0" customHeight="1">
      <c r="A1" s="1" t="s">
        <v>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90</v>
      </c>
      <c r="B3" s="31" t="s">
        <v>91</v>
      </c>
      <c r="C3" s="31" t="s">
        <v>92</v>
      </c>
      <c r="D3" s="25" t="s">
        <v>93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94</v>
      </c>
      <c r="B4" s="5">
        <f>'Model Inputs'!B7</f>
        <v>3015750</v>
      </c>
      <c r="C4" s="6">
        <f>IF('Model Inputs'!B6&gt;0,B4/'Model Inputs'!B6,0)</f>
        <v>0.7481394195</v>
      </c>
      <c r="D4" s="6">
        <f>'Model Inputs'!B8</f>
        <v>0.07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95</v>
      </c>
      <c r="B5" s="5">
        <f>'Model Inputs'!B56</f>
        <v>0</v>
      </c>
      <c r="C5" s="6">
        <f>IF('Model Inputs'!B6&gt;0,B5/'Model Inputs'!B6,0)</f>
        <v>0</v>
      </c>
      <c r="D5" s="6">
        <f>'Model Inputs'!B52</f>
        <v>0.05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96</v>
      </c>
      <c r="B6" s="5">
        <f>IF('Model Inputs'!B6&gt;0,('Model Inputs'!B6-'Model Inputs'!B7-'Model Inputs'!B56)*'Model Inputs'!B13,0)</f>
        <v>964487.5</v>
      </c>
      <c r="C6" s="6">
        <f>IF('Model Inputs'!B6&gt;0,B6/'Model Inputs'!B6,0)</f>
        <v>0.2392675515</v>
      </c>
      <c r="D6" s="6">
        <f>'Model Inputs'!B14</f>
        <v>0.07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97</v>
      </c>
      <c r="B7" s="5">
        <f>IF('Model Inputs'!B6&gt;0,('Model Inputs'!B6-'Model Inputs'!B7-'Model Inputs'!B56)*'Model Inputs'!B12,0)</f>
        <v>50762.5</v>
      </c>
      <c r="C7" s="6">
        <f>IF('Model Inputs'!B6&gt;0,B7/'Model Inputs'!B6,0)</f>
        <v>0.01259302903</v>
      </c>
      <c r="D7" s="1" t="s">
        <v>98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99</v>
      </c>
      <c r="B8" s="5">
        <f>'Model Inputs'!B6</f>
        <v>4031000</v>
      </c>
      <c r="C8" s="6">
        <v>1.0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2.78"/>
    <col customWidth="1" min="2" max="4" width="11.22"/>
    <col customWidth="1" min="5" max="5" width="11.56"/>
    <col customWidth="1" min="6" max="6" width="11.22"/>
  </cols>
  <sheetData>
    <row r="1" ht="15.0" customHeight="1">
      <c r="A1" s="1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32" t="s">
        <v>101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102</v>
      </c>
      <c r="B3" s="31" t="s">
        <v>103</v>
      </c>
      <c r="C3" s="31" t="s">
        <v>104</v>
      </c>
      <c r="D3" s="31" t="s">
        <v>105</v>
      </c>
      <c r="E3" s="31" t="s">
        <v>106</v>
      </c>
      <c r="F3" s="25" t="s">
        <v>107</v>
      </c>
      <c r="G3" s="2"/>
      <c r="H3" s="33">
        <f>-1*('Capital Stack'!B6+'Capital Stack'!B7)</f>
        <v>-1015250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108</v>
      </c>
      <c r="B4" s="5">
        <f>'Model Inputs'!B16</f>
        <v>225267</v>
      </c>
      <c r="C4" s="5">
        <f>'Model Inputs'!B41</f>
        <v>211102.5</v>
      </c>
      <c r="D4" s="5">
        <f>(Assumptions!B22+Assumptions!B23+Assumptions!B24)*'Model Inputs'!B5</f>
        <v>24000</v>
      </c>
      <c r="E4" s="5">
        <f t="shared" ref="E4:E13" si="1">B4-C4-D4</f>
        <v>-9835.5</v>
      </c>
      <c r="F4" s="6">
        <f>IF(('Capital Stack'!B6+'Capital Stack'!B7)&gt;0, E4/('Capital Stack'!B6+'Capital Stack'!B7), 0)</f>
        <v>-0.009687761635</v>
      </c>
      <c r="G4" s="2"/>
      <c r="H4" s="5">
        <f>E4 + IF(1='Model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 + IF(AND(1='Model Inputs'!B29, 'Model Inputs'!B60=0), Refinance!B7, 0)</f>
        <v>-9835.5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109</v>
      </c>
      <c r="B5" s="5">
        <f>IF('Model Inputs'!B48&gt;0,'Model Inputs'!B48,('Model Inputs'!B16*(1+'Model Inputs'!B17)*(1-('Model Inputs'!B21-('Model Inputs'!B21-'Model Inputs'!B22)*MIN(1,'Model Inputs'!B23)/MAX(1,'Model Inputs'!B23)))))</f>
        <v>294284</v>
      </c>
      <c r="C5" s="5">
        <f>'Model Inputs'!B42</f>
        <v>211102.5</v>
      </c>
      <c r="D5" s="5">
        <f>(Assumptions!B22+Assumptions!B23+Assumptions!B24)*'Model Inputs'!B5</f>
        <v>24000</v>
      </c>
      <c r="E5" s="5">
        <f t="shared" si="1"/>
        <v>59181.5</v>
      </c>
      <c r="F5" s="6">
        <f>IF(('Capital Stack'!B6+'Capital Stack'!B7)&gt;0, E5/('Capital Stack'!B6+'Capital Stack'!B7), 0)</f>
        <v>0.05829253878</v>
      </c>
      <c r="G5" s="2"/>
      <c r="H5" s="5">
        <f>E5 + IF(2='Model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 + IF(AND(2='Model Inputs'!B29, 'Model Inputs'!B60=0), Refinance!B7, 0)</f>
        <v>1634261.9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110</v>
      </c>
      <c r="B6" s="5">
        <f>(IF('Model Inputs'!B48&gt;0,'Model Inputs'!B48,('Model Inputs'!B16*(1+'Model Inputs'!B17)*(1-('Model Inputs'!B21-('Model Inputs'!B21-'Model Inputs'!B22)*MIN(1,'Model Inputs'!B23)/MAX(1,'Model Inputs'!B23))))))*POWER(1+'Model Inputs'!B17,1)</f>
        <v>303701.088</v>
      </c>
      <c r="C6" s="5">
        <f>'Model Inputs'!B43</f>
        <v>182260.8265</v>
      </c>
      <c r="D6" s="5">
        <f>(Assumptions!B22+Assumptions!B23+Assumptions!B24)*'Model Inputs'!B5</f>
        <v>24000</v>
      </c>
      <c r="E6" s="5">
        <f t="shared" si="1"/>
        <v>97440.2615</v>
      </c>
      <c r="F6" s="6">
        <f>IF(('Capital Stack'!B6+'Capital Stack'!B7)&gt;0, E6/('Capital Stack'!B6+'Capital Stack'!B7), 0)</f>
        <v>0.09597661808</v>
      </c>
      <c r="G6" s="2"/>
      <c r="H6" s="5">
        <f>E6 + IF(AND(3='Model Inputs'!B29, 'Model Inputs'!B60=0), Refinance!B7, 0) + IF(3='Model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97440.2615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111</v>
      </c>
      <c r="B7" s="5">
        <f>(IF('Model Inputs'!B48&gt;0,'Model Inputs'!B48,('Model Inputs'!B16*(1+'Model Inputs'!B17)*(1-('Model Inputs'!B21-('Model Inputs'!B21-'Model Inputs'!B22)*MIN(1,'Model Inputs'!B23)/MAX(1,'Model Inputs'!B23))))))*POWER(1+'Model Inputs'!B17,2)</f>
        <v>313419.5228</v>
      </c>
      <c r="C7" s="5">
        <f>'Model Inputs'!B44</f>
        <v>182260.8265</v>
      </c>
      <c r="D7" s="5">
        <f>(Assumptions!B22+Assumptions!B23+Assumptions!B24)*'Model Inputs'!B5</f>
        <v>24000</v>
      </c>
      <c r="E7" s="5">
        <f t="shared" si="1"/>
        <v>107158.6963</v>
      </c>
      <c r="F7" s="6">
        <f>IF(('Capital Stack'!B6+'Capital Stack'!B7)&gt;0, E7/('Capital Stack'!B6+'Capital Stack'!B7), 0)</f>
        <v>0.105549073</v>
      </c>
      <c r="G7" s="2"/>
      <c r="H7" s="5">
        <f>E7 + IF(AND(4='Model Inputs'!B29, 'Model Inputs'!B60=0), Refinance!B7, 0) + IF(4='Model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107158.6963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112</v>
      </c>
      <c r="B8" s="5">
        <f>(IF('Model Inputs'!B48&gt;0,'Model Inputs'!B48,('Model Inputs'!B16*(1+'Model Inputs'!B17)*(1-('Model Inputs'!B21-('Model Inputs'!B21-'Model Inputs'!B22)*MIN(1,'Model Inputs'!B23)/MAX(1,'Model Inputs'!B23))))))*POWER(1+'Model Inputs'!B17,3)</f>
        <v>323448.9475</v>
      </c>
      <c r="C8" s="5">
        <f>'Model Inputs'!B45</f>
        <v>182260.8265</v>
      </c>
      <c r="D8" s="5">
        <f>(Assumptions!B22+Assumptions!B23+Assumptions!B24)*'Model Inputs'!B5</f>
        <v>24000</v>
      </c>
      <c r="E8" s="5">
        <f t="shared" si="1"/>
        <v>117188.1211</v>
      </c>
      <c r="F8" s="6">
        <f>IF(('Capital Stack'!B6+'Capital Stack'!B7)&gt;0, E8/('Capital Stack'!B6+'Capital Stack'!B7), 0)</f>
        <v>0.1154278464</v>
      </c>
      <c r="G8" s="2"/>
      <c r="H8" s="5">
        <f>E8 + IF(AND(5='Model Inputs'!B29, 'Model Inputs'!B60=0), Refinance!B7, 0) + IF(5='Model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117188.1211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113</v>
      </c>
      <c r="B9" s="5">
        <f>(IF('Model Inputs'!B48&gt;0,'Model Inputs'!B48,('Model Inputs'!B16*(1+'Model Inputs'!B17)*(1-('Model Inputs'!B21-('Model Inputs'!B21-'Model Inputs'!B22)*MIN(1,'Model Inputs'!B23)/MAX(1,'Model Inputs'!B23))))))*POWER(1+'Model Inputs'!B17,4)</f>
        <v>333799.3139</v>
      </c>
      <c r="C9" s="5">
        <f>'Model Inputs'!B61</f>
        <v>182260.8265</v>
      </c>
      <c r="D9" s="5">
        <f>(Assumptions!B22+Assumptions!B23+Assumptions!B24)*'Model Inputs'!B5</f>
        <v>24000</v>
      </c>
      <c r="E9" s="5">
        <f t="shared" si="1"/>
        <v>127538.4874</v>
      </c>
      <c r="F9" s="6">
        <f>IF(('Capital Stack'!B6+'Capital Stack'!B7)&gt;0, E9/('Capital Stack'!B6+'Capital Stack'!B7), 0)</f>
        <v>0.1256227406</v>
      </c>
      <c r="G9" s="2"/>
      <c r="H9" s="5">
        <f>E9 + IF(AND(6='Model Inputs'!B29, 'Model Inputs'!B60=0), Refinance!B7, 0) + IF(6='Model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127538.4874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114</v>
      </c>
      <c r="B10" s="5">
        <f>(IF('Model Inputs'!B48&gt;0,'Model Inputs'!B48,('Model Inputs'!B16*(1+'Model Inputs'!B17)*(1-('Model Inputs'!B21-('Model Inputs'!B21-'Model Inputs'!B22)*MIN(1,'Model Inputs'!B23)/MAX(1,'Model Inputs'!B23))))))*POWER(1+'Model Inputs'!B17,5)</f>
        <v>344480.8919</v>
      </c>
      <c r="C10" s="5">
        <f>'Model Inputs'!B62</f>
        <v>182260.8265</v>
      </c>
      <c r="D10" s="5">
        <f>(Assumptions!B22+Assumptions!B23+Assumptions!B24)*'Model Inputs'!B5</f>
        <v>24000</v>
      </c>
      <c r="E10" s="5">
        <f t="shared" si="1"/>
        <v>138220.0654</v>
      </c>
      <c r="F10" s="6">
        <f>IF(('Capital Stack'!B6+'Capital Stack'!B7)&gt;0, E10/('Capital Stack'!B6+'Capital Stack'!B7), 0)</f>
        <v>0.1361438714</v>
      </c>
      <c r="G10" s="2"/>
      <c r="H10" s="5">
        <f>E10 + IF(AND(7='Model Inputs'!B29, 'Model Inputs'!B60=0), Refinance!B7, 0) + IF(7='Model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138220.0654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115</v>
      </c>
      <c r="B11" s="5">
        <f>(IF('Model Inputs'!B48&gt;0,'Model Inputs'!B48,('Model Inputs'!B16*(1+'Model Inputs'!B17)*(1-('Model Inputs'!B21-('Model Inputs'!B21-'Model Inputs'!B22)*MIN(1,'Model Inputs'!B23)/MAX(1,'Model Inputs'!B23))))))*POWER(1+'Model Inputs'!B17,6)</f>
        <v>355504.2805</v>
      </c>
      <c r="C11" s="5">
        <f>'Model Inputs'!B63</f>
        <v>182260.8265</v>
      </c>
      <c r="D11" s="5">
        <f>(Assumptions!B22+Assumptions!B23+Assumptions!B24)*'Model Inputs'!B5</f>
        <v>24000</v>
      </c>
      <c r="E11" s="5">
        <f t="shared" si="1"/>
        <v>149243.454</v>
      </c>
      <c r="F11" s="6">
        <f>IF(('Capital Stack'!B6+'Capital Stack'!B7)&gt;0, E11/('Capital Stack'!B6+'Capital Stack'!B7), 0)</f>
        <v>0.1470016784</v>
      </c>
      <c r="G11" s="2"/>
      <c r="H11" s="5">
        <f>E11 + IF(AND(8='Model Inputs'!B29, 'Model Inputs'!B60=0), Refinance!B7, 0) + IF(8='Model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149243.454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 t="s">
        <v>116</v>
      </c>
      <c r="B12" s="5">
        <f>(IF('Model Inputs'!B48&gt;0,'Model Inputs'!B48,('Model Inputs'!B16*(1+'Model Inputs'!B17)*(1-('Model Inputs'!B21-('Model Inputs'!B21-'Model Inputs'!B22)*MIN(1,'Model Inputs'!B23)/MAX(1,'Model Inputs'!B23))))))*POWER(1+'Model Inputs'!B17,7)</f>
        <v>366880.4174</v>
      </c>
      <c r="C12" s="5">
        <f>'Model Inputs'!B64</f>
        <v>182260.8265</v>
      </c>
      <c r="D12" s="5">
        <f>(Assumptions!B22+Assumptions!B23+Assumptions!B24)*'Model Inputs'!B5</f>
        <v>24000</v>
      </c>
      <c r="E12" s="5">
        <f t="shared" si="1"/>
        <v>160619.5909</v>
      </c>
      <c r="F12" s="6">
        <f>IF(('Capital Stack'!B6+'Capital Stack'!B7)&gt;0, E12/('Capital Stack'!B6+'Capital Stack'!B7), 0)</f>
        <v>0.1582069352</v>
      </c>
      <c r="G12" s="2"/>
      <c r="H12" s="5">
        <f>E12 + IF(AND(9='Model Inputs'!B29, 'Model Inputs'!B60=0), Refinance!B7, 0) + IF(9='Model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160619.5909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 t="s">
        <v>117</v>
      </c>
      <c r="B13" s="5">
        <f>(IF('Model Inputs'!B48&gt;0,'Model Inputs'!B48,('Model Inputs'!B16*(1+'Model Inputs'!B17)*(1-('Model Inputs'!B21-('Model Inputs'!B21-'Model Inputs'!B22)*MIN(1,'Model Inputs'!B23)/MAX(1,'Model Inputs'!B23))))))*POWER(1+'Model Inputs'!B17,8)</f>
        <v>378620.5908</v>
      </c>
      <c r="C13" s="5">
        <f>'Model Inputs'!B65</f>
        <v>182260.8265</v>
      </c>
      <c r="D13" s="5">
        <f>(Assumptions!B22+Assumptions!B23+Assumptions!B24)*'Model Inputs'!B5</f>
        <v>24000</v>
      </c>
      <c r="E13" s="5">
        <f t="shared" si="1"/>
        <v>172359.7643</v>
      </c>
      <c r="F13" s="6">
        <f>IF(('Capital Stack'!B6+'Capital Stack'!B7)&gt;0, E13/('Capital Stack'!B6+'Capital Stack'!B7), 0)</f>
        <v>0.1697707602</v>
      </c>
      <c r="G13" s="2"/>
      <c r="H13" s="5">
        <f>E13 + IF(AND(10='Model Inputs'!B29, 'Model Inputs'!B60=0), Refinance!B7, 0) + IF(10='Model Inputs'!B18, (((IF('Model Inputs'!B18&gt;1,IF('Model Inputs'!B48&gt;0,'Model Inputs'!B48,('Model Inputs'!B16*(1+'Model Inputs'!B17)*(1-('Model Inputs'!B21-('Model Inputs'!B21-'Model Inputs'!B22)*MIN(1,'Model Inputs'!B23)/MAX(1,'Model Inputs'!B23)))))*POWER(1+'Model Inputs'!B17,'Model Inputs'!B18-2),'Model Inputs'!B16*POWER(1+'Model Inputs'!B17,'Model Inputs'!B18)))/'Model Inputs'!B19)*(1-'Model Inputs'!B20)) - (IF(AND('Model Inputs'!B29&gt;0,'Model Inputs'!B18&gt;'Model Inputs'!B29,'Model Inputs'!B38&gt;0),IF(MIN(MAX(0,('Model Inputs'!B18-'Model Inputs'!B29)*12),'Model Inputs'!B31*12)&gt;0,IF('Model Inputs'!B30&gt;0,'Model Inputs'!B38*POWER(1+'Model Inputs'!B30/12,MIN(MAX(0,('Model Inputs'!B18-'Model Inputs'!B29)*12),'Model Inputs'!B31*12))-ABS(PMT('Model Inputs'!B30/12,'Model Inputs'!B31*12,'Model Inputs'!B38))*((POWER(1+'Model Inputs'!B30/12,MIN(MAX(0,('Model Inputs'!B18-'Model Inputs'!B29)*12),'Model Inputs'!B31*12))-1)/('Model Inputs'!B30/12)),MAX(0,'Model Inputs'!B38-ABS(PMT('Model Inputs'!B30/12,'Model Inputs'!B31*12,'Model Inputs'!B38))*MIN(MAX(0,('Model Inputs'!B18-'Model Inputs'!B29)*12),'Model Inputs'!B31*12))),'Model Inputs'!B38),IF(MAX(0,MIN('Model Inputs'!B18*12,'Model Inputs'!B9*12)-'Model Inputs'!B25)&gt;0,IF('Model Inputs'!B8&gt;0,'Model Inputs'!B7*POWER(1+'Model Inputs'!B8/12,MAX(0,MIN('Model Inputs'!B18*12,'Model Inputs'!B9*12)-'Model Inputs'!B25))-ABS(PMT('Model Inputs'!B8/12,'Model Inputs'!B10*12,'Model Inputs'!B7))*((POWER(1+'Model Inputs'!B8/12,MAX(0,MIN('Model Inputs'!B18*12,'Model Inputs'!B9*12)-'Model Inputs'!B25))-1)/('Model Inputs'!B8/12)),MAX(0,'Model Inputs'!B7-ABS(PMT('Model Inputs'!B8/12,'Model Inputs'!B10*12,'Model Inputs'!B7))*MAX(0,MIN('Model Inputs'!B18*12,'Model Inputs'!B9*12)-'Model Inputs'!B25))),'Model Inputs'!B7))), 0)</f>
        <v>172359.7643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67"/>
    <col customWidth="1" min="2" max="6" width="11.22"/>
  </cols>
  <sheetData>
    <row r="1" ht="15.0" customHeight="1">
      <c r="A1" s="1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119</v>
      </c>
      <c r="B3" s="25" t="s">
        <v>120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121</v>
      </c>
      <c r="B4" s="1" t="s">
        <v>122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123</v>
      </c>
      <c r="B5" s="1">
        <v>2.0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124</v>
      </c>
      <c r="B6" s="5">
        <v>0.0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125</v>
      </c>
      <c r="B7" s="5">
        <v>0.0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126</v>
      </c>
      <c r="B8" s="5">
        <v>0.0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127</v>
      </c>
      <c r="B9" s="5">
        <v>0.0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128</v>
      </c>
      <c r="B10" s="5">
        <v>0.0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129</v>
      </c>
      <c r="B11" s="5">
        <v>0.0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78"/>
    <col customWidth="1" min="2" max="6" width="11.22"/>
  </cols>
  <sheetData>
    <row r="1" ht="15.0" customHeight="1">
      <c r="A1" s="1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119</v>
      </c>
      <c r="B3" s="25" t="s">
        <v>120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131</v>
      </c>
      <c r="B4" s="6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132</v>
      </c>
      <c r="B5" s="6">
        <v>0.75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133</v>
      </c>
      <c r="B6" s="1">
        <v>24.0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121</v>
      </c>
      <c r="B7" s="1" t="s">
        <v>122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4.78"/>
    <col customWidth="1" min="2" max="6" width="11.22"/>
  </cols>
  <sheetData>
    <row r="1" ht="15.0" customHeight="1">
      <c r="A1" s="1" t="s">
        <v>134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3" t="s">
        <v>119</v>
      </c>
      <c r="B3" s="25" t="s">
        <v>120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1" t="s">
        <v>14</v>
      </c>
      <c r="B4" s="5">
        <v>3425000.0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1" t="s">
        <v>135</v>
      </c>
      <c r="B5" s="1">
        <v>32.0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1" t="s">
        <v>136</v>
      </c>
      <c r="B6" s="5">
        <v>4031000.0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1" t="s">
        <v>137</v>
      </c>
      <c r="B7" s="5">
        <v>3015750.0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1" t="s">
        <v>138</v>
      </c>
      <c r="B8" s="6">
        <v>0.07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1" t="s">
        <v>139</v>
      </c>
      <c r="B9" s="1">
        <v>2.0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1" t="s">
        <v>140</v>
      </c>
      <c r="B10" s="1">
        <v>30.0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1" t="s">
        <v>141</v>
      </c>
      <c r="B11" s="6">
        <v>0.75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1" t="s">
        <v>142</v>
      </c>
      <c r="B12" s="6">
        <v>0.05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1" t="s">
        <v>143</v>
      </c>
      <c r="B13" s="6">
        <v>0.95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" t="s">
        <v>144</v>
      </c>
      <c r="B14" s="6">
        <v>0.07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1" t="s">
        <v>145</v>
      </c>
      <c r="B15" s="6">
        <v>0.3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1" t="s">
        <v>146</v>
      </c>
      <c r="B16" s="5">
        <v>225267.0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 t="s">
        <v>147</v>
      </c>
      <c r="B17" s="6">
        <v>0.032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 t="s">
        <v>148</v>
      </c>
      <c r="B18" s="1">
        <v>2.0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 t="s">
        <v>149</v>
      </c>
      <c r="B19" s="6">
        <v>0.0625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 t="s">
        <v>150</v>
      </c>
      <c r="B20" s="6">
        <v>0.025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" t="s">
        <v>151</v>
      </c>
      <c r="B21" s="6">
        <v>0.02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" t="s">
        <v>152</v>
      </c>
      <c r="B22" s="6">
        <v>0.02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 t="s">
        <v>153</v>
      </c>
      <c r="B23" s="1">
        <v>1.0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" t="s">
        <v>154</v>
      </c>
      <c r="B24" s="6">
        <v>0.04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" t="s">
        <v>133</v>
      </c>
      <c r="B25" s="1">
        <v>24.0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" t="s">
        <v>155</v>
      </c>
      <c r="B26" s="6">
        <v>0.01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" t="s">
        <v>132</v>
      </c>
      <c r="B27" s="6">
        <v>0.75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" t="s">
        <v>156</v>
      </c>
      <c r="B28" s="1">
        <v>1.0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" t="s">
        <v>123</v>
      </c>
      <c r="B29" s="1">
        <v>2.0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" t="s">
        <v>157</v>
      </c>
      <c r="B30" s="6">
        <v>0.055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" t="s">
        <v>158</v>
      </c>
      <c r="B31" s="1">
        <v>30.0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" t="s">
        <v>159</v>
      </c>
      <c r="B32" s="1">
        <v>10.0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" t="s">
        <v>160</v>
      </c>
      <c r="B33" s="6">
        <v>0.7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" t="s">
        <v>161</v>
      </c>
      <c r="B34" s="1">
        <v>1.25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" t="s">
        <v>162</v>
      </c>
      <c r="B35" s="6">
        <v>0.055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" t="s">
        <v>163</v>
      </c>
      <c r="B36" s="6">
        <v>0.01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" t="s">
        <v>121</v>
      </c>
      <c r="B37" s="1" t="s">
        <v>122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" t="s">
        <v>164</v>
      </c>
      <c r="B38" s="5">
        <f>IF('Model Inputs'!B37="ltv", 'Model Inputs'!B39, IF('Model Inputs'!B37="dscr", 'Model Inputs'!B40, MIN('Model Inputs'!B39,'Model Inputs'!B40)))</f>
        <v>2675008.176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" t="s">
        <v>165</v>
      </c>
      <c r="B39" s="5">
        <f>(('Model Inputs'!B16*POWER(1+'Model Inputs'!B17,'Model Inputs'!B29-1)*(1-IF('Model Inputs'!B29=1,'Model Inputs'!B21, 'Model Inputs'!B21-('Model Inputs'!B21-'Model Inputs'!B22)*MIN('Model Inputs'!B29-1,'Model Inputs'!B23)/MAX(1,'Model Inputs'!B23))))/'Model Inputs'!B35)*'Model Inputs'!B33</f>
        <v>2899604.058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" t="s">
        <v>166</v>
      </c>
      <c r="B40" s="5">
        <f>((('Model Inputs'!B16*POWER(1+'Model Inputs'!B17,'Model Inputs'!B29-1)*(1-IF('Model Inputs'!B29=1,'Model Inputs'!B21, 'Model Inputs'!B21-('Model Inputs'!B21-'Model Inputs'!B22)*MIN('Model Inputs'!B29-1,'Model Inputs'!B23)/MAX(1,'Model Inputs'!B23))))/'Model Inputs'!B34)/12)*((1-POWER(1+'Model Inputs'!B30/12,-'Model Inputs'!B31*12))/('Model Inputs'!B30/12))</f>
        <v>2675008.176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" t="s">
        <v>167</v>
      </c>
      <c r="B41" s="5">
        <f>IF(1&lt;='Model Inputs'!B29, MAX(0,MIN(1*12,'Model Inputs'!B25)-0*12)*('Model Inputs'!B7*'Model Inputs'!B8/12) + (12-MAX(0,MIN(1*12,'Model Inputs'!B25)-0*12))*ABS(PMT('Model Inputs'!B8/12,'Model Inputs'!B10*12,'Model Inputs'!B7)) + IF('Model Inputs'!B49=1, MAX(0, MIN(1*12, IF('Model Inputs'!B29&gt;0, 'Model Inputs'!B29*12, 99999), 'Model Inputs'!B53+'Model Inputs'!B54) - MAX(0*12, 'Model Inputs'!B53))*'Model Inputs'!B58, 0), ABS(PMT('Model Inputs'!B30/12,'Model Inputs'!B31*12,'Model Inputs'!B38))*12)</f>
        <v>211102.5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" t="s">
        <v>168</v>
      </c>
      <c r="B42" s="5">
        <f>IF(2&lt;='Model Inputs'!B29, MAX(0,MIN(2*12,'Model Inputs'!B25)-1*12)*('Model Inputs'!B7*'Model Inputs'!B8/12) + (12-MAX(0,MIN(2*12,'Model Inputs'!B25)-1*12))*ABS(PMT('Model Inputs'!B8/12,'Model Inputs'!B10*12,'Model Inputs'!B7)) + IF('Model Inputs'!B49=1, MAX(0, MIN(2*12, IF('Model Inputs'!B29&gt;0, 'Model Inputs'!B29*12, 99999), 'Model Inputs'!B53+'Model Inputs'!B54) - MAX(1*12, 'Model Inputs'!B53))*'Model Inputs'!B58, 0), ABS(PMT('Model Inputs'!B30/12,'Model Inputs'!B31*12,'Model Inputs'!B38))*12)</f>
        <v>211102.5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" t="s">
        <v>169</v>
      </c>
      <c r="B43" s="5">
        <f>IF(3&lt;='Model Inputs'!B29, MAX(0,MIN(3*12,'Model Inputs'!B25)-2*12)*('Model Inputs'!B7*'Model Inputs'!B8/12) + (12-MAX(0,MIN(3*12,'Model Inputs'!B25)-2*12))*ABS(PMT('Model Inputs'!B8/12,'Model Inputs'!B10*12,'Model Inputs'!B7)) + IF('Model Inputs'!B49=1, MAX(0, MIN(3*12, IF('Model Inputs'!B29&gt;0, 'Model Inputs'!B29*12, 99999), 'Model Inputs'!B53+'Model Inputs'!B54) - MAX(2*12, 'Model Inputs'!B53))*'Model Inputs'!B58, 0), ABS(PMT('Model Inputs'!B30/12,'Model Inputs'!B31*12,'Model Inputs'!B38))*12)</f>
        <v>182260.8265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" t="s">
        <v>170</v>
      </c>
      <c r="B44" s="5">
        <f>IF(4&lt;='Model Inputs'!B29, MAX(0,MIN(4*12,'Model Inputs'!B25)-3*12)*('Model Inputs'!B7*'Model Inputs'!B8/12) + (12-MAX(0,MIN(4*12,'Model Inputs'!B25)-3*12))*ABS(PMT('Model Inputs'!B8/12,'Model Inputs'!B10*12,'Model Inputs'!B7)) + IF('Model Inputs'!B49=1, MAX(0, MIN(4*12, IF('Model Inputs'!B29&gt;0, 'Model Inputs'!B29*12, 99999), 'Model Inputs'!B53+'Model Inputs'!B54) - MAX(3*12, 'Model Inputs'!B53))*'Model Inputs'!B58, 0), ABS(PMT('Model Inputs'!B30/12,'Model Inputs'!B31*12,'Model Inputs'!B38))*12)</f>
        <v>182260.8265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" t="s">
        <v>171</v>
      </c>
      <c r="B45" s="5">
        <f>IF(5&lt;='Model Inputs'!B29, MAX(0,MIN(5*12,'Model Inputs'!B25)-4*12)*('Model Inputs'!B7*'Model Inputs'!B8/12) + (12-MAX(0,MIN(5*12,'Model Inputs'!B25)-4*12))*ABS(PMT('Model Inputs'!B8/12,'Model Inputs'!B10*12,'Model Inputs'!B7)) + IF('Model Inputs'!B49=1, MAX(0, MIN(5*12, IF('Model Inputs'!B29&gt;0, 'Model Inputs'!B29*12, 99999), 'Model Inputs'!B53+'Model Inputs'!B54) - MAX(4*12, 'Model Inputs'!B53))*'Model Inputs'!B58, 0), ABS(PMT('Model Inputs'!B30/12,'Model Inputs'!B31*12,'Model Inputs'!B38))*12)</f>
        <v>182260.8265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" t="s">
        <v>172</v>
      </c>
      <c r="B46" s="1">
        <v>9.0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" t="s">
        <v>173</v>
      </c>
      <c r="B47" s="6">
        <v>0.2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" t="s">
        <v>174</v>
      </c>
      <c r="B48" s="5">
        <v>294284.0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" t="s">
        <v>175</v>
      </c>
      <c r="B49" s="1">
        <v>0.0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" t="s">
        <v>176</v>
      </c>
      <c r="B50" s="6">
        <v>0.0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" t="s">
        <v>177</v>
      </c>
      <c r="B51" s="5">
        <v>0.0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" t="s">
        <v>178</v>
      </c>
      <c r="B52" s="6">
        <v>0.05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" t="s">
        <v>179</v>
      </c>
      <c r="B53" s="1">
        <v>12.0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" t="s">
        <v>180</v>
      </c>
      <c r="B54" s="1">
        <v>12.0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" t="s">
        <v>181</v>
      </c>
      <c r="B55" s="1">
        <v>1.0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" t="s">
        <v>182</v>
      </c>
      <c r="B56" s="5">
        <f>IF(B49=1,IF(B51&gt;0,B51,B4*B50),0)</f>
        <v>0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" t="s">
        <v>183</v>
      </c>
      <c r="B57" s="5">
        <f>IF(B49=1,IF(B55=1,B56*POWER(1+B52/12,B53),B56+B56*B52/12*B53),0)</f>
        <v>0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" t="s">
        <v>184</v>
      </c>
      <c r="B58" s="5">
        <f>B57*B52/12</f>
        <v>0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" t="s">
        <v>185</v>
      </c>
      <c r="B59" s="5">
        <f>IF(AND(B49=1,B29&gt;0),IF(B29*12&lt;=B53,IF(B55=1,B56*POWER(1+B52/12,B29*12),B56+B56*B52/12*(B29*12)),B57),0)</f>
        <v>0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" t="s">
        <v>186</v>
      </c>
      <c r="B60" s="1">
        <v>1.0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" t="s">
        <v>187</v>
      </c>
      <c r="B61" s="34">
        <f>IF(6&lt;='Model Inputs'!B29, MAX(0,MIN(6*12,'Model Inputs'!B25)-5*12)*('Model Inputs'!B7*'Model Inputs'!B8/12) + (12-MAX(0,MIN(6*12,'Model Inputs'!B25)-5*12))*ABS(PMT('Model Inputs'!B8/12,'Model Inputs'!B10*12,'Model Inputs'!B7)) + IF('Model Inputs'!B49=1, MAX(0, MIN(6*12, IF('Model Inputs'!B29&gt;0, 'Model Inputs'!B29*12, 99999), 'Model Inputs'!B53+'Model Inputs'!B54) - MAX(5*12, 'Model Inputs'!B53))*'Model Inputs'!B58, 0), ABS(PMT('Model Inputs'!B30/12,'Model Inputs'!B31*12,'Model Inputs'!B38))*12)</f>
        <v>182260.8265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" t="s">
        <v>188</v>
      </c>
      <c r="B62" s="34">
        <f>IF(7&lt;='Model Inputs'!B29, MAX(0,MIN(7*12,'Model Inputs'!B25)-6*12)*('Model Inputs'!B7*'Model Inputs'!B8/12) + (12-MAX(0,MIN(7*12,'Model Inputs'!B25)-6*12))*ABS(PMT('Model Inputs'!B8/12,'Model Inputs'!B10*12,'Model Inputs'!B7)) + IF('Model Inputs'!B49=1, MAX(0, MIN(7*12, IF('Model Inputs'!B29&gt;0, 'Model Inputs'!B29*12, 99999), 'Model Inputs'!B53+'Model Inputs'!B54) - MAX(6*12, 'Model Inputs'!B53))*'Model Inputs'!B58, 0), ABS(PMT('Model Inputs'!B30/12,'Model Inputs'!B31*12,'Model Inputs'!B38))*12)</f>
        <v>182260.8265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" t="s">
        <v>189</v>
      </c>
      <c r="B63" s="34">
        <f>IF(8&lt;='Model Inputs'!B29, MAX(0,MIN(8*12,'Model Inputs'!B25)-7*12)*('Model Inputs'!B7*'Model Inputs'!B8/12) + (12-MAX(0,MIN(8*12,'Model Inputs'!B25)-7*12))*ABS(PMT('Model Inputs'!B8/12,'Model Inputs'!B10*12,'Model Inputs'!B7)) + IF('Model Inputs'!B49=1, MAX(0, MIN(8*12, IF('Model Inputs'!B29&gt;0, 'Model Inputs'!B29*12, 99999), 'Model Inputs'!B53+'Model Inputs'!B54) - MAX(7*12, 'Model Inputs'!B53))*'Model Inputs'!B58, 0), ABS(PMT('Model Inputs'!B30/12,'Model Inputs'!B31*12,'Model Inputs'!B38))*12)</f>
        <v>182260.8265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" t="s">
        <v>190</v>
      </c>
      <c r="B64" s="34">
        <f>IF(9&lt;='Model Inputs'!B29, MAX(0,MIN(9*12,'Model Inputs'!B25)-8*12)*('Model Inputs'!B7*'Model Inputs'!B8/12) + (12-MAX(0,MIN(9*12,'Model Inputs'!B25)-8*12))*ABS(PMT('Model Inputs'!B8/12,'Model Inputs'!B10*12,'Model Inputs'!B7)) + IF('Model Inputs'!B49=1, MAX(0, MIN(9*12, IF('Model Inputs'!B29&gt;0, 'Model Inputs'!B29*12, 99999), 'Model Inputs'!B53+'Model Inputs'!B54) - MAX(8*12, 'Model Inputs'!B53))*'Model Inputs'!B58, 0), ABS(PMT('Model Inputs'!B30/12,'Model Inputs'!B31*12,'Model Inputs'!B38))*12)</f>
        <v>182260.8265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" t="s">
        <v>191</v>
      </c>
      <c r="B65" s="34">
        <f>IF(10&lt;='Model Inputs'!B29, MAX(0,MIN(10*12,'Model Inputs'!B25)-9*12)*('Model Inputs'!B7*'Model Inputs'!B8/12) + (12-MAX(0,MIN(10*12,'Model Inputs'!B25)-9*12))*ABS(PMT('Model Inputs'!B8/12,'Model Inputs'!B10*12,'Model Inputs'!B7)) + IF('Model Inputs'!B49=1, MAX(0, MIN(10*12, IF('Model Inputs'!B29&gt;0, 'Model Inputs'!B29*12, 99999), 'Model Inputs'!B53+'Model Inputs'!B54) - MAX(9*12, 'Model Inputs'!B53))*'Model Inputs'!B58, 0), ABS(PMT('Model Inputs'!B30/12,'Model Inputs'!B31*12,'Model Inputs'!B38))*12)</f>
        <v>182260.8265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paperSize="9" orientation="portrait"/>
  <drawing r:id="rId1"/>
</worksheet>
</file>