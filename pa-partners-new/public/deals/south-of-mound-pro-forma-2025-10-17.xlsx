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ssumptions" sheetId="2" r:id="rId2"/>
    <sheet name="Capital Stack" sheetId="3" r:id="rId3"/>
    <sheet name="Cash Flow" sheetId="4" r:id="rId4"/>
    <sheet name="Refinance" sheetId="5" r:id="rId5"/>
    <sheet name="Notes" sheetId="6" r:id="rId6"/>
    <sheet name="Model Inpu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"/>
    <numFmt numFmtId="61" formatCode="0.00x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35.83203125" customWidth="1"/>
  </cols>
  <sheetData>
    <row r="1">
      <c r="A1" t="str">
        <v>Multi-Family Investment Pro Forma</v>
      </c>
    </row>
    <row r="2">
      <c r="A2" t="str">
        <v>Property Name:</v>
      </c>
      <c r="B2" t="str">
        <v>South of Mound 10_17</v>
      </c>
    </row>
    <row r="3">
      <c r="A3" t="str">
        <v>Date:</v>
      </c>
      <c r="B3" t="str">
        <v>10/17/2025</v>
      </c>
    </row>
    <row r="5">
      <c r="A5" t="str">
        <v>PROPERTY OVERVIEW</v>
      </c>
    </row>
    <row r="6">
      <c r="A6" t="str">
        <v>Total Units:</v>
      </c>
      <c r="B6">
        <f>'Model Inputs'!B5</f>
      </c>
    </row>
    <row r="7">
      <c r="A7" t="str">
        <v>Acquisition Price:</v>
      </c>
      <c r="B7" s="1">
        <f>'Model Inputs'!B4</f>
      </c>
    </row>
    <row r="8">
      <c r="A8" t="str">
        <v>Price per Unit:</v>
      </c>
      <c r="B8" s="1">
        <f>B7/B6</f>
      </c>
    </row>
    <row r="9">
      <c r="A9" t="str">
        <v>Total Project Cost:</v>
      </c>
      <c r="B9" s="1">
        <f>'Model Inputs'!B6</f>
      </c>
    </row>
    <row r="10">
      <c r="A10" t="str">
        <v>Equity Required:</v>
      </c>
      <c r="B10" s="1">
        <f>'Capital Stack'!B5+'Capital Stack'!B6</f>
      </c>
    </row>
    <row r="11">
      <c r="A11" t="str">
        <v>Debt Amount:</v>
      </c>
      <c r="B11" s="1">
        <f>'Model Inputs'!B7</f>
      </c>
    </row>
    <row r="12">
      <c r="A12" t="str">
        <v>LTC Ratio:</v>
      </c>
      <c r="B12" s="2">
        <f>IF(B9&gt;0,B11/B9,0)</f>
      </c>
    </row>
    <row r="14">
      <c r="A14" t="str">
        <v>KEY METRICS</v>
      </c>
    </row>
    <row r="15">
      <c r="A15" t="str">
        <v>Cash-on-Cash Return:</v>
      </c>
      <c r="B15" s="2">
        <f>AVERAGE('Cash Flow'!F4:INDEX('Cash Flow'!F:F,3+'Model Inputs'!B18))</f>
      </c>
    </row>
    <row r="16">
      <c r="A16" t="str">
        <v>Levered IRR:</v>
      </c>
      <c r="B16" s="2">
        <f>IRR('Cash Flow'!H3:INDEX('Cash Flow'!H:H,3+'Model Inputs'!B18))</f>
      </c>
    </row>
    <row r="17">
      <c r="A17" t="str">
        <v>Equity Multiple:</v>
      </c>
      <c r="B17" s="3">
        <f>IF(ABS('Cash Flow'!H3)&gt;0, SUM('Cash Flow'!H4:INDEX('Cash Flow'!H:H,3+'Model Inputs'!B18))/ABS('Cash Flow'!H3), 0)</f>
      </c>
    </row>
    <row r="18">
      <c r="A18" t="str">
        <v>DSCR (Year 1):</v>
      </c>
      <c r="B18" s="3">
        <f>IF('Cash Flow'!C4&gt;0, 'Cash Flow'!B4/'Cash Flow'!C4, 0)</f>
      </c>
    </row>
    <row r="19">
      <c r="A19" t="str">
        <v>Avg DSCR (Hold):</v>
      </c>
      <c r="B19">
        <f>AVERAGE(IFERROR('Cash Flow'!B4:INDEX('Cash Flow'!B:B,3+'Model Inputs'!B18)/'Cash Flow'!C4:INDEX('Cash Flow'!C:C,3+'Model Inputs'!B18),0))</f>
      </c>
    </row>
    <row r="20">
      <c r="A20" t="str">
        <v>LENDER UNDERWRITING</v>
      </c>
    </row>
    <row r="21">
      <c r="A21" t="str">
        <v>DSCR Day-1 (Ramped):</v>
      </c>
      <c r="B21" s="3">
        <f>IF('Cash Flow'!C4&gt;0, 'Cash Flow'!B4/'Cash Flow'!C4, 0)</f>
      </c>
    </row>
    <row r="22">
      <c r="A22" t="str">
        <v>DSCR Stabilized:</v>
      </c>
      <c r="B22" s="3">
        <f>IF(INDEX('Model Inputs'!B41:B45,2)&gt;0, IF('Model Inputs'!B48&gt;0,'Model Inputs'!B48, 'Model Inputs'!B16*(1+'Model Inputs'!B17)*(1-('Model Inputs'!B21-('Model Inputs'!B21-'Model Inputs'!B22)*MIN(1,'Model Inputs'!B23)/MAX(1,'Model Inputs'!B23)))) / INDEX('Model Inputs'!B41:B45,2), 0)</f>
      </c>
    </row>
    <row r="23">
      <c r="A23" t="str">
        <v>Debt Yield Day-1:</v>
      </c>
      <c r="B23" s="2">
        <f>IF('Model Inputs'!B7&gt;0, 'Cash Flow'!B4/'Model Inputs'!B7, 0)</f>
      </c>
    </row>
    <row r="24">
      <c r="A24" t="str">
        <v>Debt Yield Stabilized:</v>
      </c>
      <c r="B24" s="2">
        <f>IF('Model Inputs'!B7&gt;0, IF('Model Inputs'!B48&gt;0,'Model Inputs'!B48, 'Model Inputs'!B16*(1+'Model Inputs'!B17)*(1-('Model Inputs'!B21-('Model Inputs'!B21-'Model Inputs'!B22)*MIN(1,'Model Inputs'!B23)/MAX(1,'Model Inputs'!B23)))) / 'Model Inputs'!B7, 0)</f>
      </c>
    </row>
    <row r="25">
      <c r="A25" t="str">
        <v>Suggested IO Months:</v>
      </c>
      <c r="B25">
        <f>IF('Model Inputs'!B7&gt;0, IF(('Cash Flow'!B4/12/1.2)&gt;=ABS(PMT('Model Inputs'!B8/12,'Model Inputs'!B10*12,'Model Inputs'!B7)), 0, MIN(24, ROUNDUP(12*(ABS(PMT('Model Inputs'!B8/12,'Model Inputs'!B10*12,'Model Inputs'!B7)) - ('Cash Flow'!B4/12/1.2)) / (ABS(PMT('Model Inputs'!B8/12,'Model Inputs'!B10*12,'Model Inputs'!B7)) - ('Model Inputs'!B7*'Model Inputs'!B8/12)), 0))), 0)</f>
      </c>
    </row>
    <row r="26">
      <c r="A26" t="str">
        <v>Interest Reserve (est.):</v>
      </c>
      <c r="B26" s="1">
        <f>MAX(0, B25 * MAX(0, ('Model Inputs'!B7*'Model Inputs'!B8/12) - ('Cash Flow'!B4/12/1.2)))</f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34.83203125" customWidth="1"/>
  </cols>
  <sheetData>
    <row r="1">
      <c r="A1" t="str">
        <v>KEY ASSUMPTIONS &amp; CALCULATIONS</v>
      </c>
    </row>
    <row r="3">
      <c r="A3" t="str">
        <v>REVENUE ASSUMPTIONS</v>
      </c>
    </row>
    <row r="4">
      <c r="A4" t="str">
        <v>Average Monthly Rent (Per Unit):</v>
      </c>
      <c r="B4">
        <v>980</v>
      </c>
    </row>
    <row r="5">
      <c r="A5" t="str">
        <v>Occupancy Rate:</v>
      </c>
      <c r="B5" s="2">
        <v>0.95</v>
      </c>
    </row>
    <row r="6">
      <c r="A6" t="str">
        <v>Units:</v>
      </c>
      <c r="B6">
        <v>16</v>
      </c>
    </row>
    <row r="7">
      <c r="A7" t="str">
        <v>Annual Rent Growth:</v>
      </c>
      <c r="B7" s="2">
        <v>0.035</v>
      </c>
    </row>
    <row r="8">
      <c r="A8" t="str">
        <v>Other Income (Monthly):</v>
      </c>
      <c r="B8">
        <v>1600</v>
      </c>
    </row>
    <row r="9">
      <c r="A9" t="str">
        <v>Delinquency Y1:</v>
      </c>
      <c r="B9" s="2">
        <v>0.04</v>
      </c>
    </row>
    <row r="10">
      <c r="A10" t="str">
        <v>Delinquency Y2+ (Stabilized):</v>
      </c>
      <c r="B10" s="2">
        <v>0.02</v>
      </c>
    </row>
    <row r="11">
      <c r="A11" t="str">
        <v>Delinquency Ramp Years:</v>
      </c>
      <c r="B11">
        <v>1</v>
      </c>
    </row>
    <row r="13">
      <c r="A13" t="str">
        <v>OPERATING EXPENSES</v>
      </c>
    </row>
    <row r="14">
      <c r="A14" t="str">
        <v>Property Taxes:</v>
      </c>
      <c r="B14" s="1">
        <v>17000</v>
      </c>
    </row>
    <row r="15">
      <c r="A15" t="str">
        <v>Insurance:</v>
      </c>
      <c r="B15" s="1">
        <v>8500</v>
      </c>
    </row>
    <row r="16">
      <c r="A16" t="str">
        <v>Utilities:</v>
      </c>
      <c r="B16" s="1">
        <v>2000</v>
      </c>
    </row>
    <row r="17">
      <c r="A17" t="str">
        <v>Repairs &amp; Maintenance:</v>
      </c>
      <c r="B17" s="1">
        <v>18500</v>
      </c>
    </row>
    <row r="18">
      <c r="A18" t="str">
        <v>Management Fee:</v>
      </c>
      <c r="B18" s="1">
        <f>B28*'Model Inputs'!B24</f>
      </c>
    </row>
    <row r="19">
      <c r="A19" t="str">
        <v>Other Expenses:</v>
      </c>
      <c r="B19" s="1">
        <v>4200</v>
      </c>
    </row>
    <row r="21">
      <c r="A21" t="str">
        <v>RESERVES (Per Unit)</v>
      </c>
    </row>
    <row r="22">
      <c r="A22" t="str">
        <v>Annual CapEx ($/Unit):</v>
      </c>
      <c r="B22" s="1">
        <v>150</v>
      </c>
    </row>
    <row r="23">
      <c r="A23" t="str">
        <v>Leasing Costs ($/Unit):</v>
      </c>
      <c r="B23" s="1">
        <v>500</v>
      </c>
    </row>
    <row r="24">
      <c r="A24" t="str">
        <v>TI Allowance ($/Unit):</v>
      </c>
      <c r="B24" s="1">
        <v>0</v>
      </c>
    </row>
    <row r="26">
      <c r="A26" t="str">
        <v>CALCULATED RESULTS</v>
      </c>
    </row>
    <row r="27">
      <c r="A27" t="str">
        <v>Gross Rental Income:</v>
      </c>
      <c r="B27" s="1">
        <f>B4*B6*12</f>
      </c>
    </row>
    <row r="28">
      <c r="A28" t="str">
        <v>Effective Gross Income:</v>
      </c>
      <c r="B28" s="1">
        <f>B27*B5*(1-B9)+(B8*12)</f>
      </c>
    </row>
    <row r="29">
      <c r="A29" t="str">
        <v>Total Operating Expenses:</v>
      </c>
      <c r="B29" s="1">
        <f>B14+B15+B16+B17+B18+B19</f>
      </c>
    </row>
    <row r="30">
      <c r="A30" t="str">
        <v>Net Operating Income:</v>
      </c>
      <c r="B30" s="1">
        <f>(B28)*((12-IFERROR('Model Inputs'!B46,0)+IFERROR('Model Inputs'!B46,0)*(1-IFERROR('Model Inputs'!B47,0)))/12)-B29</f>
      </c>
    </row>
    <row r="31">
      <c r="A31" t="str">
        <v>Expense Ratio:</v>
      </c>
      <c r="B31" s="2">
        <f>B29/B28</f>
      </c>
    </row>
  </sheetData>
  <ignoredErrors>
    <ignoredError numberStoredAsText="1" sqref="A1:B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8.83203125" customWidth="1"/>
  </cols>
  <sheetData>
    <row r="1">
      <c r="A1" t="str">
        <v>CAPITAL STACK</v>
      </c>
    </row>
    <row r="3">
      <c r="A3" t="str">
        <v>Source</v>
      </c>
      <c r="B3" t="str">
        <v>Amount</v>
      </c>
      <c r="C3" t="str">
        <v>% of Total</v>
      </c>
      <c r="D3" t="str">
        <v>Cost/Return</v>
      </c>
    </row>
    <row r="4">
      <c r="A4" t="str">
        <v>Senior Debt</v>
      </c>
      <c r="B4" s="1">
        <f>'Model Inputs'!B7</f>
      </c>
      <c r="C4" s="2">
        <f>IF('Model Inputs'!B6&gt;0,B4/'Model Inputs'!B6,0)</f>
      </c>
      <c r="D4" s="2">
        <f>'Model Inputs'!B8</f>
      </c>
    </row>
    <row r="5">
      <c r="A5" t="str">
        <v>LP Equity</v>
      </c>
      <c r="B5" s="1">
        <f>IF('Model Inputs'!B6&gt;0,('Model Inputs'!B6-'Model Inputs'!B7)*'Model Inputs'!B13,0)</f>
      </c>
      <c r="C5" s="2">
        <f>IF('Model Inputs'!B6&gt;0,B5/'Model Inputs'!B6,0)</f>
      </c>
      <c r="D5" s="2">
        <f>'Model Inputs'!B14</f>
      </c>
    </row>
    <row r="6">
      <c r="A6" t="str">
        <v>GP Equity</v>
      </c>
      <c r="B6" s="1">
        <f>IF('Model Inputs'!B6&gt;0,('Model Inputs'!B6-'Model Inputs'!B7)*'Model Inputs'!B12,0)</f>
      </c>
      <c r="C6" s="2">
        <f>IF('Model Inputs'!B6&gt;0,B6/'Model Inputs'!B6,0)</f>
      </c>
      <c r="D6" t="str">
        <v>Residual</v>
      </c>
    </row>
    <row r="7">
      <c r="A7" t="str">
        <v>Total</v>
      </c>
      <c r="B7" s="1">
        <f>'Model Inputs'!B6</f>
      </c>
      <c r="C7" s="2">
        <v>1</v>
      </c>
      <c r="D7" t="str">
        <v/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2.83203125" customWidth="1"/>
  </cols>
  <sheetData>
    <row r="1">
      <c r="A1" t="str">
        <v>5-YEAR CASH FLOW PROJECTION</v>
      </c>
    </row>
    <row r="2">
      <c r="H2" t="str">
        <v>CF</v>
      </c>
    </row>
    <row r="3">
      <c r="A3" t="str">
        <v>Year</v>
      </c>
      <c r="B3" t="str">
        <v>NOI</v>
      </c>
      <c r="C3" t="str">
        <v>Debt Service</v>
      </c>
      <c r="D3" t="str">
        <v>Reserves</v>
      </c>
      <c r="E3" t="str">
        <v>Before-Tax CF</v>
      </c>
      <c r="F3" t="str">
        <v>Cash-on-Cash</v>
      </c>
      <c r="H3">
        <f>-1*('Capital Stack'!B5+'Capital Stack'!B6)</f>
      </c>
    </row>
    <row r="4">
      <c r="A4" t="str">
        <v>Year 1</v>
      </c>
      <c r="B4" s="1">
        <f>'Model Inputs'!B16</f>
      </c>
      <c r="C4" s="1">
        <f>'Model Inputs'!B41</f>
      </c>
      <c r="D4" s="1">
        <f>('Assumptions'!B22+'Assumptions'!B23+'Assumptions'!B24)*'Model Inputs'!B5</f>
      </c>
      <c r="E4" s="1">
        <f>B4-C4-D4</f>
      </c>
      <c r="F4" s="2">
        <f>IF(('Capital Stack'!B5+'Capital Stack'!B6)&gt;0, E4/('Capital Stack'!B5+'Capital Stack'!B6), 0)</f>
      </c>
      <c r="H4">
        <f>E4 + IF(1='Model Inputs'!B29, 'Refinance'!B6, 0)</f>
      </c>
    </row>
    <row r="5">
      <c r="A5" t="str">
        <v>Year 2</v>
      </c>
      <c r="B5" s="1">
        <f>IF('Model Inputs'!B48&gt;0,'Model Inputs'!B48,('Model Inputs'!B16*(1+'Model Inputs'!B17)*(1-('Model Inputs'!B21-('Model Inputs'!B21-'Model Inputs'!B22)*MIN(1,'Model Inputs'!B23)/MAX(1,'Model Inputs'!B23)))))</f>
      </c>
      <c r="C5" s="1">
        <f>'Model Inputs'!B42</f>
      </c>
      <c r="D5" s="1">
        <f>('Assumptions'!B22+'Assumptions'!B23+'Assumptions'!B24)*'Model Inputs'!B5</f>
      </c>
      <c r="E5" s="1">
        <f>B5-C5-D5</f>
      </c>
      <c r="F5" s="2">
        <f>IF(('Capital Stack'!B5+'Capital Stack'!B6)&gt;0, E5/('Capital Stack'!B5+'Capital Stack'!B6), 0)</f>
      </c>
      <c r="H5">
        <f>E5 + IF(2='Model Inputs'!B29, 'Refinance'!B6, 0)</f>
      </c>
    </row>
    <row r="6">
      <c r="A6" t="str">
        <v>Year 3</v>
      </c>
      <c r="B6" s="1">
        <f>(IF('Model Inputs'!B48&gt;0,'Model Inputs'!B48,('Model Inputs'!B16*(1+'Model Inputs'!B17)*(1-('Model Inputs'!B21-('Model Inputs'!B21-'Model Inputs'!B22)*MIN(1,'Model Inputs'!B23)/MAX(1,'Model Inputs'!B23))))))*POWER(1+'Model Inputs'!B17,1)</f>
      </c>
      <c r="C6" s="1">
        <f>'Model Inputs'!B43</f>
      </c>
      <c r="D6" s="1">
        <f>('Assumptions'!B22+'Assumptions'!B23+'Assumptions'!B24)*'Model Inputs'!B5</f>
      </c>
      <c r="E6" s="1">
        <f>B6-C6-D6</f>
      </c>
      <c r="F6" s="2">
        <f>IF(('Capital Stack'!B5+'Capital Stack'!B6)&gt;0, E6/('Capital Stack'!B5+'Capital Stack'!B6), 0)</f>
      </c>
      <c r="H6">
        <f>E6 + IF(3='Model Inputs'!B29, 'Refinance'!B6, 0)</f>
      </c>
    </row>
    <row r="7">
      <c r="A7" t="str">
        <v>Year 4</v>
      </c>
      <c r="B7" s="1">
        <f>(IF('Model Inputs'!B48&gt;0,'Model Inputs'!B48,('Model Inputs'!B16*(1+'Model Inputs'!B17)*(1-('Model Inputs'!B21-('Model Inputs'!B21-'Model Inputs'!B22)*MIN(1,'Model Inputs'!B23)/MAX(1,'Model Inputs'!B23))))))*POWER(1+'Model Inputs'!B17,2)</f>
      </c>
      <c r="C7" s="1">
        <f>'Model Inputs'!B44</f>
      </c>
      <c r="D7" s="1">
        <f>('Assumptions'!B22+'Assumptions'!B23+'Assumptions'!B24)*'Model Inputs'!B5</f>
      </c>
      <c r="E7" s="1">
        <f>B7-C7-D7</f>
      </c>
      <c r="F7" s="2">
        <f>IF(('Capital Stack'!B5+'Capital Stack'!B6)&gt;0, E7/('Capital Stack'!B5+'Capital Stack'!B6), 0)</f>
      </c>
      <c r="H7">
        <f>E7 + IF(4='Model Inputs'!B29, 'Refinance'!B6, 0)</f>
      </c>
    </row>
    <row r="8">
      <c r="A8" t="str">
        <v>Year 5</v>
      </c>
      <c r="B8" s="1">
        <f>(IF('Model Inputs'!B48&gt;0,'Model Inputs'!B48,('Model Inputs'!B16*(1+'Model Inputs'!B17)*(1-('Model Inputs'!B21-('Model Inputs'!B21-'Model Inputs'!B22)*MIN(1,'Model Inputs'!B23)/MAX(1,'Model Inputs'!B23))))))*POWER(1+'Model Inputs'!B17,3)</f>
      </c>
      <c r="C8" s="1">
        <f>'Model Inputs'!B45</f>
      </c>
      <c r="D8" s="1">
        <f>('Assumptions'!B22+'Assumptions'!B23+'Assumptions'!B24)*'Model Inputs'!B5</f>
      </c>
      <c r="E8" s="1">
        <f>B8-C8-D8</f>
      </c>
      <c r="F8" s="2">
        <f>IF(('Capital Stack'!B5+'Capital Stack'!B6)&gt;0, E8/('Capital Stack'!B5+'Capital Stack'!B6), 0)</f>
      </c>
      <c r="H8">
        <f>E8 + ((('Model Inputs'!B16*POWER(1+'Model Inputs'!B17,'Model Inputs'!B18))/'Model Inputs'!B19)*(1-'Model Inputs'!B20)) - (IF(AND('Model Inputs'!B29&gt;0,'Model Inputs'!B18&gt;'Model Inputs'!B29,'Model Inputs'!B38&gt;0),IF(MIN(MAX(0,('Model Inputs'!B18-'Model Inputs'!B29)*12),'Model Inputs'!B31*12)&gt;0,IF('Model Inputs'!B30&gt;0,'Model Inputs'!B38*POWER(1+'Model Inputs'!B30/12,MIN(MAX(0,('Model Inputs'!B18-'Model Inputs'!B29)*12),'Model Inputs'!B31*12))-ABS(PMT('Model Inputs'!B30/12,'Model Inputs'!B31*12,'Model Inputs'!B38))*((POWER(1+'Model Inputs'!B30/12,MIN(MAX(0,('Model Inputs'!B18-'Model Inputs'!B29)*12),'Model Inputs'!B31*12))-1)/('Model Inputs'!B30/12)),MAX(0,'Model Inputs'!B38-ABS(PMT('Model Inputs'!B30/12,'Model Inputs'!B31*12,'Model Inputs'!B38))*MIN(MAX(0,('Model Inputs'!B18-'Model Inputs'!B29)*12),'Model Inputs'!B31*12))),'Model Inputs'!B38),IF(MAX(0,MIN('Model Inputs'!B18*12,'Model Inputs'!B9*12)-'Model Inputs'!B25)&gt;0,IF('Model Inputs'!B8&gt;0,'Model Inputs'!B7*POWER(1+'Model Inputs'!B8/12,MAX(0,MIN('Model Inputs'!B18*12,'Model Inputs'!B9*12)-'Model Inputs'!B25))-ABS(PMT('Model Inputs'!B8/12,'Model Inputs'!B10*12,'Model Inputs'!B7))*((POWER(1+'Model Inputs'!B8/12,MAX(0,MIN('Model Inputs'!B18*12,'Model Inputs'!B9*12)-'Model Inputs'!B25))-1)/('Model Inputs'!B8/12)),MAX(0,'Model Inputs'!B7-ABS(PMT('Model Inputs'!B8/12,'Model Inputs'!B10*12,'Model Inputs'!B7))*MAX(0,MIN('Model Inputs'!B18*12,'Model Inputs'!B9*12)-'Model Inputs'!B25))),'Model Inputs'!B7))) + IF(5='Model Inputs'!B29, 'Refinance'!B6, 0)</f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REFINANCE SUMMARY</v>
      </c>
    </row>
    <row r="3">
      <c r="A3" t="str">
        <v>Sizing Method</v>
      </c>
      <c r="B3" t="str">
        <v>lesser</v>
      </c>
    </row>
    <row r="4">
      <c r="A4" t="str">
        <v>Refi Year</v>
      </c>
      <c r="B4">
        <v>2</v>
      </c>
    </row>
    <row r="5">
      <c r="A5" t="str">
        <v>Perm Loan Amount</v>
      </c>
      <c r="B5" s="1">
        <v>1352834</v>
      </c>
    </row>
    <row r="6">
      <c r="A6" t="str">
        <v>Net Refi Proceeds</v>
      </c>
      <c r="B6" s="1">
        <v>41430</v>
      </c>
    </row>
    <row r="7">
      <c r="A7" t="str">
        <v>Value at Refi</v>
      </c>
      <c r="B7" s="1">
        <v>2153119</v>
      </c>
    </row>
    <row r="8">
      <c r="A8" t="str">
        <v>Bridge Payoff</v>
      </c>
      <c r="B8" s="1">
        <v>1297875</v>
      </c>
    </row>
    <row r="9">
      <c r="A9" t="str">
        <v>Perm Points/Fees</v>
      </c>
      <c r="B9" s="1">
        <v>13528</v>
      </c>
    </row>
  </sheetData>
  <ignoredErrors>
    <ignoredError numberStoredAsText="1" sqref="A1:B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NOTES</v>
      </c>
    </row>
    <row r="3">
      <c r="A3" t="str">
        <v>Bridge LTV</v>
      </c>
      <c r="B3" s="2">
        <v>0.75</v>
      </c>
    </row>
    <row r="4">
      <c r="A4" t="str">
        <v>Bridge LTC</v>
      </c>
      <c r="B4" s="2">
        <v>0.75</v>
      </c>
    </row>
    <row r="5">
      <c r="A5" t="str">
        <v>Bridge IO Months</v>
      </c>
      <c r="B5">
        <v>24</v>
      </c>
    </row>
    <row r="6">
      <c r="A6" t="str">
        <v>Sizing Method</v>
      </c>
      <c r="B6" t="str">
        <v>lesser</v>
      </c>
    </row>
  </sheetData>
  <ignoredErrors>
    <ignoredError numberStoredAsText="1" sqref="A1:B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cols>
    <col min="1" max="1" width="34.83203125" customWidth="1"/>
  </cols>
  <sheetData>
    <row r="1">
      <c r="A1" t="str">
        <v>ALL MODEL INPUTS - FOR RELOADING</v>
      </c>
    </row>
    <row r="3">
      <c r="A3" t="str">
        <v>Input Field</v>
      </c>
      <c r="B3" t="str">
        <v>Value</v>
      </c>
    </row>
    <row r="4">
      <c r="A4" t="str">
        <v>Purchase Price</v>
      </c>
      <c r="B4" s="1">
        <v>1500000</v>
      </c>
    </row>
    <row r="5">
      <c r="A5" t="str">
        <v>Units</v>
      </c>
      <c r="B5">
        <v>16</v>
      </c>
    </row>
    <row r="6">
      <c r="A6" t="str">
        <v>Total Project Cost</v>
      </c>
      <c r="B6" s="1">
        <v>1730500</v>
      </c>
    </row>
    <row r="7">
      <c r="A7" t="str">
        <v>Loan Amount</v>
      </c>
      <c r="B7" s="1">
        <v>1297875</v>
      </c>
    </row>
    <row r="8">
      <c r="A8" t="str">
        <v>Interest Rate</v>
      </c>
      <c r="B8" s="2">
        <v>0.08</v>
      </c>
    </row>
    <row r="9">
      <c r="A9" t="str">
        <v>Loan Term</v>
      </c>
      <c r="B9">
        <v>2</v>
      </c>
    </row>
    <row r="10">
      <c r="A10" t="str">
        <v>Amortization</v>
      </c>
      <c r="B10">
        <v>25</v>
      </c>
    </row>
    <row r="11">
      <c r="A11" t="str">
        <v>LTV</v>
      </c>
      <c r="B11" s="2">
        <v>0.75</v>
      </c>
    </row>
    <row r="12">
      <c r="A12" t="str">
        <v>GP Investment %</v>
      </c>
      <c r="B12" s="2">
        <v>0.05</v>
      </c>
    </row>
    <row r="13">
      <c r="A13" t="str">
        <v>LP Investment %</v>
      </c>
      <c r="B13" s="2">
        <v>0.95</v>
      </c>
    </row>
    <row r="14">
      <c r="A14" t="str">
        <v>Preferred Return</v>
      </c>
      <c r="B14" s="2">
        <v>0.07</v>
      </c>
    </row>
    <row r="15">
      <c r="A15" t="str">
        <v>GP Promote</v>
      </c>
      <c r="B15" s="2">
        <v>0.3</v>
      </c>
    </row>
    <row r="16">
      <c r="A16" t="str">
        <v>Year 1 NOI</v>
      </c>
      <c r="B16" s="1">
        <v>116752</v>
      </c>
    </row>
    <row r="17">
      <c r="A17" t="str">
        <v>NOI Growth Rate</v>
      </c>
      <c r="B17" s="2">
        <v>0.035</v>
      </c>
    </row>
    <row r="18">
      <c r="A18" t="str">
        <v>Hold Period</v>
      </c>
      <c r="B18">
        <v>5</v>
      </c>
    </row>
    <row r="19">
      <c r="A19" t="str">
        <v>Exit Cap Rate</v>
      </c>
      <c r="B19" s="2">
        <v>0.065</v>
      </c>
    </row>
    <row r="20">
      <c r="A20" t="str">
        <v>Selling Costs</v>
      </c>
      <c r="B20" s="2">
        <v>0.025</v>
      </c>
    </row>
    <row r="21">
      <c r="A21" t="str">
        <v>Delinquency Y1</v>
      </c>
      <c r="B21" s="2">
        <v>0.04</v>
      </c>
    </row>
    <row r="22">
      <c r="A22" t="str">
        <v>Delinquency Y2+ (Stabilized)</v>
      </c>
      <c r="B22" s="2">
        <v>0.02</v>
      </c>
    </row>
    <row r="23">
      <c r="A23" t="str">
        <v>Delinquency Ramp Years</v>
      </c>
      <c r="B23">
        <v>1</v>
      </c>
    </row>
    <row r="24">
      <c r="A24" t="str">
        <v>Management Fee % of EGI</v>
      </c>
      <c r="B24" s="2">
        <v>0</v>
      </c>
    </row>
    <row r="25">
      <c r="A25" t="str">
        <v>Bridge IO Months</v>
      </c>
      <c r="B25">
        <v>24</v>
      </c>
    </row>
    <row r="26">
      <c r="A26" t="str">
        <v>Bridge Points</v>
      </c>
      <c r="B26" s="2">
        <v>0.01</v>
      </c>
    </row>
    <row r="27">
      <c r="A27" t="str">
        <v>Bridge LTC</v>
      </c>
      <c r="B27" s="2">
        <v>0.75</v>
      </c>
    </row>
    <row r="28">
      <c r="A28" t="str">
        <v>Auto-size to LTC</v>
      </c>
      <c r="B28">
        <v>1</v>
      </c>
    </row>
    <row r="29">
      <c r="A29" t="str">
        <v>Refi Year</v>
      </c>
      <c r="B29">
        <v>2</v>
      </c>
    </row>
    <row r="30">
      <c r="A30" t="str">
        <v>Perm Rate</v>
      </c>
      <c r="B30" s="2">
        <v>0.0575</v>
      </c>
    </row>
    <row r="31">
      <c r="A31" t="str">
        <v>Perm Amort (yrs)</v>
      </c>
      <c r="B31">
        <v>30</v>
      </c>
    </row>
    <row r="32">
      <c r="A32" t="str">
        <v>Perm Term (yrs)</v>
      </c>
      <c r="B32">
        <v>10</v>
      </c>
    </row>
    <row r="33">
      <c r="A33" t="str">
        <v>Perm LTV</v>
      </c>
      <c r="B33" s="2">
        <v>0.75</v>
      </c>
    </row>
    <row r="34">
      <c r="A34" t="str">
        <v>Perm DSCR</v>
      </c>
      <c r="B34">
        <v>1.25</v>
      </c>
    </row>
    <row r="35">
      <c r="A35" t="str">
        <v>Refi Cap Rate</v>
      </c>
      <c r="B35" s="2">
        <v>0.055</v>
      </c>
    </row>
    <row r="36">
      <c r="A36" t="str">
        <v>Perm Points</v>
      </c>
      <c r="B36" s="2">
        <v>0.01</v>
      </c>
    </row>
    <row r="37">
      <c r="A37" t="str">
        <v>Sizing Method</v>
      </c>
      <c r="B37" t="str">
        <v>lesser</v>
      </c>
    </row>
    <row r="38">
      <c r="A38" t="str">
        <v>Perm Loan Sized (PV)</v>
      </c>
      <c r="B38" s="1">
        <f>IF('Model Inputs'!B37="ltv", 'Model Inputs'!B39, IF('Model Inputs'!B37="dscr", 'Model Inputs'!B40, MIN('Model Inputs'!B39,'Model Inputs'!B40)))</f>
      </c>
    </row>
    <row r="39">
      <c r="A39" t="str">
        <v>Perm Loan LTV</v>
      </c>
      <c r="B39" s="1">
        <f>(('Model Inputs'!B16*POWER(1+'Model Inputs'!B17,'Model Inputs'!B29-1)*(1-IF('Model Inputs'!B29=1,'Model Inputs'!B21, 'Model Inputs'!B21-('Model Inputs'!B21-'Model Inputs'!B22)*MIN('Model Inputs'!B29-1,'Model Inputs'!B23)/MAX(1,'Model Inputs'!B23))))/'Model Inputs'!B35)*'Model Inputs'!B33</f>
      </c>
    </row>
    <row r="40">
      <c r="A40" t="str">
        <v>Perm Loan DSCR</v>
      </c>
      <c r="B40" s="1">
        <f>((('Model Inputs'!B16*POWER(1+'Model Inputs'!B17,'Model Inputs'!B29-1)*(1-IF('Model Inputs'!B29=1,'Model Inputs'!B21, 'Model Inputs'!B21-('Model Inputs'!B21-'Model Inputs'!B22)*MIN('Model Inputs'!B29-1,'Model Inputs'!B23)/MAX(1,'Model Inputs'!B23))))/'Model Inputs'!B34)/12)*((1-POWER(1+'Model Inputs'!B30/12,-'Model Inputs'!B31*12))/('Model Inputs'!B30/12))</f>
      </c>
    </row>
    <row r="41">
      <c r="A41" t="str">
        <v>Debt Service Year 1</v>
      </c>
      <c r="B41" s="1">
        <f>IF(1&lt;='Model Inputs'!B29, MAX(0,MIN(1*12,'Model Inputs'!B25)-0*12)*('Model Inputs'!B7*'Model Inputs'!B8/12) + (12-MAX(0,MIN(1*12,'Model Inputs'!B25)-0*12))*ABS(PMT('Model Inputs'!B8/12,'Model Inputs'!B10*12,'Model Inputs'!B7)), ABS(PMT('Model Inputs'!B30/12,'Model Inputs'!B31*12,'Model Inputs'!B38))*12)</f>
      </c>
    </row>
    <row r="42">
      <c r="A42" t="str">
        <v>Debt Service Year 2</v>
      </c>
      <c r="B42" s="1">
        <f>IF(2&lt;='Model Inputs'!B29, MAX(0,MIN(2*12,'Model Inputs'!B25)-1*12)*('Model Inputs'!B7*'Model Inputs'!B8/12) + (12-MAX(0,MIN(2*12,'Model Inputs'!B25)-1*12))*ABS(PMT('Model Inputs'!B8/12,'Model Inputs'!B10*12,'Model Inputs'!B7)), ABS(PMT('Model Inputs'!B30/12,'Model Inputs'!B31*12,'Model Inputs'!B38))*12)</f>
      </c>
    </row>
    <row r="43">
      <c r="A43" t="str">
        <v>Debt Service Year 3</v>
      </c>
      <c r="B43" s="1">
        <f>IF(3&lt;='Model Inputs'!B29, MAX(0,MIN(3*12,'Model Inputs'!B25)-2*12)*('Model Inputs'!B7*'Model Inputs'!B8/12) + (12-MAX(0,MIN(3*12,'Model Inputs'!B25)-2*12))*ABS(PMT('Model Inputs'!B8/12,'Model Inputs'!B10*12,'Model Inputs'!B7)), ABS(PMT('Model Inputs'!B30/12,'Model Inputs'!B31*12,'Model Inputs'!B38))*12)</f>
      </c>
    </row>
    <row r="44">
      <c r="A44" t="str">
        <v>Debt Service Year 4</v>
      </c>
      <c r="B44" s="1">
        <f>IF(4&lt;='Model Inputs'!B29, MAX(0,MIN(4*12,'Model Inputs'!B25)-3*12)*('Model Inputs'!B7*'Model Inputs'!B8/12) + (12-MAX(0,MIN(4*12,'Model Inputs'!B25)-3*12))*ABS(PMT('Model Inputs'!B8/12,'Model Inputs'!B10*12,'Model Inputs'!B7)), ABS(PMT('Model Inputs'!B30/12,'Model Inputs'!B31*12,'Model Inputs'!B38))*12)</f>
      </c>
    </row>
    <row r="45">
      <c r="A45" t="str">
        <v>Debt Service Year 5</v>
      </c>
      <c r="B45" s="1">
        <f>IF(5&lt;='Model Inputs'!B29, MAX(0,MIN(5*12,'Model Inputs'!B25)-4*12)*('Model Inputs'!B7*'Model Inputs'!B8/12) + (12-MAX(0,MIN(5*12,'Model Inputs'!B25)-4*12))*ABS(PMT('Model Inputs'!B8/12,'Model Inputs'!B10*12,'Model Inputs'!B7)), ABS(PMT('Model Inputs'!B30/12,'Model Inputs'!B31*12,'Model Inputs'!B38))*12)</f>
      </c>
    </row>
    <row r="46">
      <c r="A46" t="str">
        <v>Y1 Ramp Months</v>
      </c>
      <c r="B46">
        <v>6</v>
      </c>
    </row>
    <row r="47">
      <c r="A47" t="str">
        <v>Y1 Ramp Discount</v>
      </c>
      <c r="B47">
        <v>0.25</v>
      </c>
    </row>
    <row r="48">
      <c r="A48" t="str">
        <v>Year 2 NOI (Stabilized)</v>
      </c>
      <c r="B48" s="1">
        <v>144177</v>
      </c>
    </row>
  </sheetData>
  <ignoredErrors>
    <ignoredError numberStoredAsText="1" sqref="A1:B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Assumptions</vt:lpstr>
      <vt:lpstr>Capital Stack</vt:lpstr>
      <vt:lpstr>Cash Flow</vt:lpstr>
      <vt:lpstr>Refinance</vt:lpstr>
      <vt:lpstr>Notes</vt:lpstr>
      <vt:lpstr>Model Inputs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